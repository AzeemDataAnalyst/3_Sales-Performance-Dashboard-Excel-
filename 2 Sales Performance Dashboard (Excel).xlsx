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Make Project\Excel Dashboard\2. Sales Performence Dashboad\"/>
    </mc:Choice>
  </mc:AlternateContent>
  <xr:revisionPtr revIDLastSave="0" documentId="13_ncr:1_{7B70F507-364A-4E6B-B416-65EDFEF03290}" xr6:coauthVersionLast="47" xr6:coauthVersionMax="47" xr10:uidLastSave="{00000000-0000-0000-0000-000000000000}"/>
  <bookViews>
    <workbookView xWindow="-108" yWindow="-108" windowWidth="23256" windowHeight="12456" activeTab="2" xr2:uid="{11FD7A40-9FC8-4E37-AD4C-0CF13A267F53}"/>
  </bookViews>
  <sheets>
    <sheet name="Long Data" sheetId="62" r:id="rId1"/>
    <sheet name="Pivot Table" sheetId="58" r:id="rId2"/>
    <sheet name="Dashboard" sheetId="57" r:id="rId3"/>
  </sheets>
  <externalReferences>
    <externalReference r:id="rId4"/>
  </externalReferences>
  <definedNames>
    <definedName name="_xlnm._FilterDatabase" localSheetId="0" hidden="1">'Long Data'!$B$1:$G$101</definedName>
    <definedName name="Price">[1]Sheet29!$C$3:$C$33</definedName>
    <definedName name="Slicer_Product2">#N/A</definedName>
    <definedName name="Slicer_Region3">#N/A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1" i="57" l="1"/>
  <c r="U9" i="57"/>
  <c r="U7" i="57"/>
  <c r="U4" i="57"/>
</calcChain>
</file>

<file path=xl/sharedStrings.xml><?xml version="1.0" encoding="utf-8"?>
<sst xmlns="http://schemas.openxmlformats.org/spreadsheetml/2006/main" count="542" uniqueCount="151">
  <si>
    <t>Neha Gupta</t>
  </si>
  <si>
    <t>Laptop</t>
  </si>
  <si>
    <t>Product</t>
  </si>
  <si>
    <t>Total Sales</t>
  </si>
  <si>
    <t>Keyboard</t>
  </si>
  <si>
    <t>Mouse</t>
  </si>
  <si>
    <t>Monitor</t>
  </si>
  <si>
    <t>Printer</t>
  </si>
  <si>
    <t>Region</t>
  </si>
  <si>
    <t>Salesperson</t>
  </si>
  <si>
    <t>East</t>
  </si>
  <si>
    <t>North</t>
  </si>
  <si>
    <t>West</t>
  </si>
  <si>
    <t>South</t>
  </si>
  <si>
    <t>Month</t>
  </si>
  <si>
    <t>Jan</t>
  </si>
  <si>
    <t>Feb</t>
  </si>
  <si>
    <t>Mar</t>
  </si>
  <si>
    <t>Apr</t>
  </si>
  <si>
    <t>May</t>
  </si>
  <si>
    <t>Jun</t>
  </si>
  <si>
    <t>Jul</t>
  </si>
  <si>
    <t>Aug</t>
  </si>
  <si>
    <t>Sales Amount</t>
  </si>
  <si>
    <t>Row Labels</t>
  </si>
  <si>
    <t>Grand Total</t>
  </si>
  <si>
    <t>Sum of Sales Amount</t>
  </si>
  <si>
    <t>Year</t>
  </si>
  <si>
    <t>Sep</t>
  </si>
  <si>
    <t>Oct</t>
  </si>
  <si>
    <t>Nov</t>
  </si>
  <si>
    <t>Dec</t>
  </si>
  <si>
    <t>Customer ID</t>
  </si>
  <si>
    <t>C001</t>
  </si>
  <si>
    <t>Rajesh Sharma</t>
  </si>
  <si>
    <t>C002</t>
  </si>
  <si>
    <t>Priya Mehta</t>
  </si>
  <si>
    <t>C003</t>
  </si>
  <si>
    <t>Rahul Patel</t>
  </si>
  <si>
    <t>C004</t>
  </si>
  <si>
    <t>Sneha Rao</t>
  </si>
  <si>
    <t>C005</t>
  </si>
  <si>
    <t>Arif Khan</t>
  </si>
  <si>
    <t>C006</t>
  </si>
  <si>
    <t>C007</t>
  </si>
  <si>
    <t>C008</t>
  </si>
  <si>
    <t>C009</t>
  </si>
  <si>
    <t>C010</t>
  </si>
  <si>
    <t>C011</t>
  </si>
  <si>
    <t>C012</t>
  </si>
  <si>
    <t>C013</t>
  </si>
  <si>
    <t>C014</t>
  </si>
  <si>
    <t>C015</t>
  </si>
  <si>
    <t>C016</t>
  </si>
  <si>
    <t>C017</t>
  </si>
  <si>
    <t>C018</t>
  </si>
  <si>
    <t>C019</t>
  </si>
  <si>
    <t>C020</t>
  </si>
  <si>
    <t>C021</t>
  </si>
  <si>
    <t>C022</t>
  </si>
  <si>
    <t>Karan Singh</t>
  </si>
  <si>
    <t>Amit Desai</t>
  </si>
  <si>
    <t>Riya Nair</t>
  </si>
  <si>
    <t>Deepak Joshi</t>
  </si>
  <si>
    <t>Aditi Shah</t>
  </si>
  <si>
    <t>Pooja Bansal</t>
  </si>
  <si>
    <t>Nikhil Kumar</t>
  </si>
  <si>
    <t>Meena Iyer</t>
  </si>
  <si>
    <t>Sanjay Verma</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</si>
  <si>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</si>
  <si>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</si>
  <si>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</si>
  <si>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</si>
  <si>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</si>
  <si>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</si>
  <si>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</si>
  <si>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</si>
  <si>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</si>
  <si>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</si>
  <si>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</si>
  <si>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</si>
  <si>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</si>
  <si>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</si>
  <si>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</si>
  <si>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</si>
  <si>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</si>
  <si>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</si>
  <si>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</si>
  <si>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</si>
  <si>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</si>
  <si>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</si>
  <si>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</si>
  <si>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</si>
  <si>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</si>
  <si>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</si>
  <si>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</si>
  <si>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</si>
  <si>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</si>
  <si>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</si>
  <si>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</si>
  <si>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</si>
  <si>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</si>
  <si>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</si>
  <si>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</si>
  <si>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</si>
  <si>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</si>
  <si>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</si>
  <si>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</si>
  <si>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</si>
  <si>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</si>
  <si>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</si>
  <si>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</si>
  <si>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</si>
  <si>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</si>
  <si>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</si>
  <si>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</si>
  <si>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</si>
  <si>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</si>
  <si>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</si>
  <si>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</si>
  <si>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</si>
  <si>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</si>
  <si>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</si>
  <si>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</si>
  <si>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</si>
  <si>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</si>
  <si>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</si>
  <si>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</si>
  <si>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</si>
  <si>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</si>
  <si>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</si>
  <si>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</si>
  <si>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</si>
  <si>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</si>
  <si>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</si>
  <si>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</si>
  <si>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</si>
  <si>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</si>
  <si>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</si>
  <si>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</si>
  <si>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</si>
  <si>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</si>
  <si>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</si>
  <si>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</si>
  <si>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</si>
  <si>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</si>
  <si>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</si>
  <si>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Avg Sales</t>
  </si>
  <si>
    <t>Max Sales</t>
  </si>
  <si>
    <t>Min Sales</t>
  </si>
  <si>
    <t>Total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</si>
</sst>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Aptos Narrow"/>
      <family val="2"/>
      <scheme val="minor"/>
    </font>
    <font>
      <sz val="12"/>
      <color theme="1"/>
      <name val="Aptos Narrow"/>
      <family val="2"/>
      <scheme val="minor"/>
    </font>
    <font>
      <sz val="11"/>
      <color theme="1"/>
      <name val="Aptos Narrow"/>
      <family val="2"/>
      <scheme val="minor"/>
    </font>
    <font>
      <b/>
      <sz val="16"/>
      <color theme="1"/>
      <name val="Aptos Narrow"/>
      <family val="2"/>
      <scheme val="minor"/>
    </font>
    <font>
      <sz val="10"/>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43" fontId="4" fillId="0" borderId="0" applyFont="0" applyFill="0" applyBorder="0" applyAlignment="0" applyProtection="0"/>
  </cellStyleXfs>
  <cellXfs count="11">
    <xf numFmtId="0" fontId="0" fillId="0" borderId="0" xfId="0"/>
    <xf numFmtId="0" fontId="1" fillId="0" borderId="1" xfId="0" applyFont="1" applyBorder="1" applyAlignment="1">
      <alignment vertical="center"/>
    </xf>
    <xf numFmtId="14" fontId="1" fillId="0" borderId="1" xfId="0" applyNumberFormat="1" applyFont="1" applyBorder="1" applyAlignment="1">
      <alignment vertical="center"/>
    </xf>
    <xf numFmtId="0" fontId="0" fillId="3" borderId="0" xfId="0" applyFill="1"/>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3" fontId="0" fillId="0" borderId="0" xfId="0" applyNumberFormat="1"/>
    <xf numFmtId="3" fontId="1" fillId="0" borderId="1" xfId="0" applyNumberFormat="1" applyFont="1" applyBorder="1" applyAlignment="1">
      <alignment vertical="center"/>
    </xf>
    <xf numFmtId="0" fontId="0" fillId="0" borderId="0" xfId="0" pivotButton="1"/>
    <xf numFmtId="0" fontId="0" fillId="0" borderId="0" xfId="0" applyAlignment="1">
      <alignment horizontal="left"/>
    </xf>
    <xf numFmtId="0" fontId="0" fillId="0" borderId="0" xfId="0" applyNumberFormat="1"/>
  </cellXfs>
  <cellStyles count="3">
    <cellStyle name="Comma 2" xfId="2" xr:uid="{D0987BB2-315A-4319-91B3-481D2C17BCD4}"/>
    <cellStyle name="Normal" xfId="0" builtinId="0"/>
    <cellStyle name="Normal 2" xfId="1" xr:uid="{B3D9BCF0-89B7-425A-BB2D-9146D898C29F}"/>
  </cellStyles>
  <dxfs count="0"/>
  <tableStyles count="0" defaultTableStyle="TableStyleMedium2" defaultPivotStyle="PivotStyleLight16"/>
  <colors>
    <mruColors>
      <color rgb="FFC41604"/>
      <color rgb="FFBD8521"/>
      <color rgb="FFB48900"/>
      <color rgb="FFFFE737"/>
      <color rgb="FFCDCDCD"/>
      <color rgb="FFFF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Sales Dachboard.xlsx]Pivot Table!PivotTable5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67-4F53-BEB7-E0AAB1314B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67-4F53-BEB7-E0AAB1314BD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067-4F53-BEB7-E0AAB1314BD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067-4F53-BEB7-E0AAB1314BD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#,##0</c:formatCode>
                <c:ptCount val="4"/>
                <c:pt idx="0">
                  <c:v>764400</c:v>
                </c:pt>
                <c:pt idx="1">
                  <c:v>934600</c:v>
                </c:pt>
                <c:pt idx="2">
                  <c:v>475000</c:v>
                </c:pt>
                <c:pt idx="3">
                  <c:v>549000</c:v>
                </c:pt>
              </c:numCache>
            </c:numRef>
          </c:val>
          <c:extLst>
            <c:ext xmlns:c16="http://schemas.microsoft.com/office/drawing/2014/chart" uri="{C3380CC4-5D6E-409C-BE32-E72D297353CC}">
              <c16:uniqueId val="{00000000-DCA2-485F-8437-3EDC91C3FEB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Sales Dachboard.xlsx]Pivot Table!PivotTable6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s>
    <c:plotArea>
      <c:layout/>
      <c:barChart>
        <c:barDir val="bar"/>
        <c:grouping val="clustered"/>
        <c:varyColors val="0"/>
        <c:ser>
          <c:idx val="0"/>
          <c:order val="0"/>
          <c:tx>
            <c:strRef>
              <c:f>'Pivot Table'!$I$3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489E-4E05-95C1-07C3B520B2FC}"/>
              </c:ext>
            </c:extLst>
          </c:dPt>
          <c:dPt>
            <c:idx val="1"/>
            <c:invertIfNegative val="0"/>
            <c:bubble3D val="0"/>
            <c:extLst>
              <c:ext xmlns:c16="http://schemas.microsoft.com/office/drawing/2014/chart" uri="{C3380CC4-5D6E-409C-BE32-E72D297353CC}">
                <c16:uniqueId val="{00000003-489E-4E05-95C1-07C3B520B2FC}"/>
              </c:ext>
            </c:extLst>
          </c:dPt>
          <c:dPt>
            <c:idx val="2"/>
            <c:invertIfNegative val="0"/>
            <c:bubble3D val="0"/>
            <c:extLst>
              <c:ext xmlns:c16="http://schemas.microsoft.com/office/drawing/2014/chart" uri="{C3380CC4-5D6E-409C-BE32-E72D297353CC}">
                <c16:uniqueId val="{00000005-489E-4E05-95C1-07C3B520B2FC}"/>
              </c:ext>
            </c:extLst>
          </c:dPt>
          <c:dPt>
            <c:idx val="3"/>
            <c:invertIfNegative val="0"/>
            <c:bubble3D val="0"/>
            <c:extLst>
              <c:ext xmlns:c16="http://schemas.microsoft.com/office/drawing/2014/chart" uri="{C3380CC4-5D6E-409C-BE32-E72D297353CC}">
                <c16:uniqueId val="{00000007-489E-4E05-95C1-07C3B520B2FC}"/>
              </c:ext>
            </c:extLst>
          </c:dPt>
          <c:dPt>
            <c:idx val="4"/>
            <c:invertIfNegative val="0"/>
            <c:bubble3D val="0"/>
            <c:extLst>
              <c:ext xmlns:c16="http://schemas.microsoft.com/office/drawing/2014/chart" uri="{C3380CC4-5D6E-409C-BE32-E72D297353CC}">
                <c16:uniqueId val="{00000009-489E-4E05-95C1-07C3B520B2FC}"/>
              </c:ext>
            </c:extLst>
          </c:dPt>
          <c:cat>
            <c:strRef>
              <c:f>'Pivot Table'!$H$4:$H$9</c:f>
              <c:strCache>
                <c:ptCount val="5"/>
                <c:pt idx="0">
                  <c:v>Keyboard</c:v>
                </c:pt>
                <c:pt idx="1">
                  <c:v>Laptop</c:v>
                </c:pt>
                <c:pt idx="2">
                  <c:v>Monitor</c:v>
                </c:pt>
                <c:pt idx="3">
                  <c:v>Mouse</c:v>
                </c:pt>
                <c:pt idx="4">
                  <c:v>Printer</c:v>
                </c:pt>
              </c:strCache>
            </c:strRef>
          </c:cat>
          <c:val>
            <c:numRef>
              <c:f>'Pivot Table'!$I$4:$I$9</c:f>
              <c:numCache>
                <c:formatCode>#,##0</c:formatCode>
                <c:ptCount val="5"/>
                <c:pt idx="0">
                  <c:v>40200</c:v>
                </c:pt>
                <c:pt idx="1">
                  <c:v>420000</c:v>
                </c:pt>
                <c:pt idx="2">
                  <c:v>87900</c:v>
                </c:pt>
                <c:pt idx="3">
                  <c:v>29900</c:v>
                </c:pt>
                <c:pt idx="4">
                  <c:v>186400</c:v>
                </c:pt>
              </c:numCache>
            </c:numRef>
          </c:val>
          <c:extLst>
            <c:ext xmlns:c16="http://schemas.microsoft.com/office/drawing/2014/chart" uri="{C3380CC4-5D6E-409C-BE32-E72D297353CC}">
              <c16:uniqueId val="{00000000-3C05-4CA4-B0DB-AFF2A48BADBD}"/>
            </c:ext>
          </c:extLst>
        </c:ser>
        <c:dLbls>
          <c:showLegendKey val="0"/>
          <c:showVal val="0"/>
          <c:showCatName val="0"/>
          <c:showSerName val="0"/>
          <c:showPercent val="0"/>
          <c:showBubbleSize val="0"/>
        </c:dLbls>
        <c:gapWidth val="115"/>
        <c:overlap val="-20"/>
        <c:axId val="1219590863"/>
        <c:axId val="1219586063"/>
      </c:barChart>
      <c:valAx>
        <c:axId val="121958606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9590863"/>
        <c:crosses val="autoZero"/>
        <c:crossBetween val="between"/>
      </c:valAx>
      <c:catAx>
        <c:axId val="1219590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95860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Sales Dachboard.xlsx]Pivot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Table'!$P$4:$P$16</c:f>
              <c:numCache>
                <c:formatCode>#,##0</c:formatCode>
                <c:ptCount val="12"/>
                <c:pt idx="0">
                  <c:v>35800</c:v>
                </c:pt>
                <c:pt idx="1">
                  <c:v>105400</c:v>
                </c:pt>
                <c:pt idx="2">
                  <c:v>47600</c:v>
                </c:pt>
                <c:pt idx="3">
                  <c:v>24100</c:v>
                </c:pt>
                <c:pt idx="4">
                  <c:v>133400</c:v>
                </c:pt>
                <c:pt idx="5">
                  <c:v>23000</c:v>
                </c:pt>
                <c:pt idx="6">
                  <c:v>34600</c:v>
                </c:pt>
                <c:pt idx="7">
                  <c:v>115200</c:v>
                </c:pt>
                <c:pt idx="8">
                  <c:v>103100</c:v>
                </c:pt>
                <c:pt idx="9">
                  <c:v>16200</c:v>
                </c:pt>
                <c:pt idx="10">
                  <c:v>107400</c:v>
                </c:pt>
                <c:pt idx="11">
                  <c:v>18600</c:v>
                </c:pt>
              </c:numCache>
            </c:numRef>
          </c:val>
          <c:smooth val="0"/>
          <c:extLst>
            <c:ext xmlns:c16="http://schemas.microsoft.com/office/drawing/2014/chart" uri="{C3380CC4-5D6E-409C-BE32-E72D297353CC}">
              <c16:uniqueId val="{00000000-6DDF-416A-94CD-A07839FE300D}"/>
            </c:ext>
          </c:extLst>
        </c:ser>
        <c:dLbls>
          <c:showLegendKey val="0"/>
          <c:showVal val="0"/>
          <c:showCatName val="0"/>
          <c:showSerName val="0"/>
          <c:showPercent val="0"/>
          <c:showBubbleSize val="0"/>
        </c:dLbls>
        <c:marker val="1"/>
        <c:smooth val="0"/>
        <c:axId val="1550339823"/>
        <c:axId val="1550317743"/>
      </c:lineChart>
      <c:catAx>
        <c:axId val="155033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317743"/>
        <c:crosses val="autoZero"/>
        <c:auto val="1"/>
        <c:lblAlgn val="ctr"/>
        <c:lblOffset val="100"/>
        <c:noMultiLvlLbl val="0"/>
      </c:catAx>
      <c:valAx>
        <c:axId val="1550317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33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Sales Dachboard.xlsx]Pivot Table!PivotTable5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5E-4798-8CB3-65A3FCAE472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5E-4798-8CB3-65A3FCAE472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5E-4798-8CB3-65A3FCAE472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45E-4798-8CB3-65A3FCAE47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#,##0</c:formatCode>
                <c:ptCount val="4"/>
                <c:pt idx="0">
                  <c:v>764400</c:v>
                </c:pt>
                <c:pt idx="1">
                  <c:v>934600</c:v>
                </c:pt>
                <c:pt idx="2">
                  <c:v>475000</c:v>
                </c:pt>
                <c:pt idx="3">
                  <c:v>549000</c:v>
                </c:pt>
              </c:numCache>
            </c:numRef>
          </c:val>
          <c:extLst>
            <c:ext xmlns:c16="http://schemas.microsoft.com/office/drawing/2014/chart" uri="{C3380CC4-5D6E-409C-BE32-E72D297353CC}">
              <c16:uniqueId val="{00000001-4454-4ABC-8626-F160013E66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Bahnschrift Condensed" panose="020B0502040204020203" pitchFamily="34"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Sales Dachboard.xlsx]Pivot Table!PivotTable7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'Pivot Table'!$O$4:$O$16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Table'!$P$4:$P$16</c:f>
              <c:numCache>
                <c:formatCode>#,##0</c:formatCode>
                <c:ptCount val="12"/>
                <c:pt idx="0">
                  <c:v>35800</c:v>
                </c:pt>
                <c:pt idx="1">
                  <c:v>105400</c:v>
                </c:pt>
                <c:pt idx="2">
                  <c:v>47600</c:v>
                </c:pt>
                <c:pt idx="3">
                  <c:v>24100</c:v>
                </c:pt>
                <c:pt idx="4">
                  <c:v>133400</c:v>
                </c:pt>
                <c:pt idx="5">
                  <c:v>23000</c:v>
                </c:pt>
                <c:pt idx="6">
                  <c:v>34600</c:v>
                </c:pt>
                <c:pt idx="7">
                  <c:v>115200</c:v>
                </c:pt>
                <c:pt idx="8">
                  <c:v>103100</c:v>
                </c:pt>
                <c:pt idx="9">
                  <c:v>16200</c:v>
                </c:pt>
                <c:pt idx="10">
                  <c:v>107400</c:v>
                </c:pt>
                <c:pt idx="11">
                  <c:v>18600</c:v>
                </c:pt>
              </c:numCache>
            </c:numRef>
          </c:val>
          <c:smooth val="0"/>
          <c:extLst>
            <c:ext xmlns:c16="http://schemas.microsoft.com/office/drawing/2014/chart" uri="{C3380CC4-5D6E-409C-BE32-E72D297353CC}">
              <c16:uniqueId val="{00000000-FEBB-4D97-82E9-CE44835BCE1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50339823"/>
        <c:axId val="1550317743"/>
      </c:lineChart>
      <c:catAx>
        <c:axId val="15503398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600" b="1" i="0" u="none" strike="noStrike" kern="1200" spc="100" baseline="0">
                <a:solidFill>
                  <a:sysClr val="windowText" lastClr="000000"/>
                </a:solidFill>
                <a:latin typeface="+mn-lt"/>
                <a:ea typeface="+mn-ea"/>
                <a:cs typeface="+mn-cs"/>
              </a:defRPr>
            </a:pPr>
            <a:endParaRPr lang="en-US"/>
          </a:p>
        </c:txPr>
        <c:crossAx val="1550317743"/>
        <c:crosses val="autoZero"/>
        <c:auto val="1"/>
        <c:lblAlgn val="ctr"/>
        <c:lblOffset val="100"/>
        <c:noMultiLvlLbl val="0"/>
      </c:catAx>
      <c:valAx>
        <c:axId val="15503177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50339823"/>
        <c:crosses val="autoZero"/>
        <c:crossBetween val="between"/>
      </c:valA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Sales Dachboard.xlsx]Pivot Table!PivotTable6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outerShdw blurRad="57150" dist="19050" dir="5400000" algn="ctr" rotWithShape="0">
              <a:srgbClr val="000000">
                <a:alpha val="63000"/>
              </a:srgbClr>
            </a:outerShdw>
          </a:effectLst>
        </c:spPr>
      </c:pivotFmt>
      <c:pivotFmt>
        <c:idx val="9"/>
        <c:spPr>
          <a:solidFill>
            <a:srgbClr val="FFFF00"/>
          </a:solidFill>
          <a:ln>
            <a:noFill/>
          </a:ln>
          <a:effectLst>
            <a:outerShdw blurRad="57150" dist="19050" dir="5400000" algn="ctr" rotWithShape="0">
              <a:srgbClr val="000000">
                <a:alpha val="63000"/>
              </a:srgbClr>
            </a:outerShdw>
          </a:effectLst>
        </c:spPr>
      </c:pivotFmt>
      <c:pivotFmt>
        <c:idx val="10"/>
        <c:spPr>
          <a:solidFill>
            <a:srgbClr val="00B050"/>
          </a:solidFill>
          <a:ln>
            <a:noFill/>
          </a:ln>
          <a:effectLst>
            <a:outerShdw blurRad="57150" dist="19050" dir="5400000" algn="ctr" rotWithShape="0">
              <a:srgbClr val="000000">
                <a:alpha val="63000"/>
              </a:srgbClr>
            </a:outerShdw>
          </a:effectLst>
        </c:spPr>
      </c:pivotFmt>
      <c:pivotFmt>
        <c:idx val="11"/>
        <c:spPr>
          <a:solidFill>
            <a:srgbClr val="00B0F0"/>
          </a:solidFill>
          <a:ln>
            <a:noFill/>
          </a:ln>
          <a:effectLst>
            <a:outerShdw blurRad="57150" dist="19050" dir="5400000" algn="ctr" rotWithShape="0">
              <a:srgbClr val="000000">
                <a:alpha val="63000"/>
              </a:srgbClr>
            </a:outerShdw>
          </a:effectLst>
        </c:spPr>
      </c:pivotFmt>
      <c:pivotFmt>
        <c:idx val="12"/>
        <c:spPr>
          <a:solidFill>
            <a:srgbClr val="7030A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30564939006613"/>
          <c:y val="0.23296805894651945"/>
          <c:w val="0.73371864409935117"/>
          <c:h val="0.69888628786266582"/>
        </c:manualLayout>
      </c:layout>
      <c:barChart>
        <c:barDir val="bar"/>
        <c:grouping val="clustered"/>
        <c:varyColors val="0"/>
        <c:ser>
          <c:idx val="0"/>
          <c:order val="0"/>
          <c:tx>
            <c:strRef>
              <c:f>'Pivot Table'!$I$3</c:f>
              <c:strCache>
                <c:ptCount val="1"/>
                <c:pt idx="0">
                  <c:v>Total</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82FE-4F7E-B134-35F003A522DF}"/>
              </c:ext>
            </c:extLst>
          </c:dPt>
          <c:dPt>
            <c:idx val="1"/>
            <c:invertIfNegative val="0"/>
            <c:bubble3D val="0"/>
            <c:extLst>
              <c:ext xmlns:c16="http://schemas.microsoft.com/office/drawing/2014/chart" uri="{C3380CC4-5D6E-409C-BE32-E72D297353CC}">
                <c16:uniqueId val="{00000003-82FE-4F7E-B134-35F003A522DF}"/>
              </c:ext>
            </c:extLst>
          </c:dPt>
          <c:dPt>
            <c:idx val="2"/>
            <c:invertIfNegative val="0"/>
            <c:bubble3D val="0"/>
            <c:extLst>
              <c:ext xmlns:c16="http://schemas.microsoft.com/office/drawing/2014/chart" uri="{C3380CC4-5D6E-409C-BE32-E72D297353CC}">
                <c16:uniqueId val="{00000005-82FE-4F7E-B134-35F003A522DF}"/>
              </c:ext>
            </c:extLst>
          </c:dPt>
          <c:dPt>
            <c:idx val="3"/>
            <c:invertIfNegative val="0"/>
            <c:bubble3D val="0"/>
            <c:extLst>
              <c:ext xmlns:c16="http://schemas.microsoft.com/office/drawing/2014/chart" uri="{C3380CC4-5D6E-409C-BE32-E72D297353CC}">
                <c16:uniqueId val="{00000007-82FE-4F7E-B134-35F003A522DF}"/>
              </c:ext>
            </c:extLst>
          </c:dPt>
          <c:dPt>
            <c:idx val="4"/>
            <c:invertIfNegative val="0"/>
            <c:bubble3D val="0"/>
            <c:extLst>
              <c:ext xmlns:c16="http://schemas.microsoft.com/office/drawing/2014/chart" uri="{C3380CC4-5D6E-409C-BE32-E72D297353CC}">
                <c16:uniqueId val="{00000009-82FE-4F7E-B134-35F003A522DF}"/>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Table'!$H$4:$H$9</c:f>
              <c:strCache>
                <c:ptCount val="5"/>
                <c:pt idx="0">
                  <c:v>Keyboard</c:v>
                </c:pt>
                <c:pt idx="1">
                  <c:v>Laptop</c:v>
                </c:pt>
                <c:pt idx="2">
                  <c:v>Monitor</c:v>
                </c:pt>
                <c:pt idx="3">
                  <c:v>Mouse</c:v>
                </c:pt>
                <c:pt idx="4">
                  <c:v>Printer</c:v>
                </c:pt>
              </c:strCache>
            </c:strRef>
          </c:cat>
          <c:val>
            <c:numRef>
              <c:f>'Pivot Table'!$I$4:$I$9</c:f>
              <c:numCache>
                <c:formatCode>#,##0</c:formatCode>
                <c:ptCount val="5"/>
                <c:pt idx="0">
                  <c:v>40200</c:v>
                </c:pt>
                <c:pt idx="1">
                  <c:v>420000</c:v>
                </c:pt>
                <c:pt idx="2">
                  <c:v>87900</c:v>
                </c:pt>
                <c:pt idx="3">
                  <c:v>29900</c:v>
                </c:pt>
                <c:pt idx="4">
                  <c:v>186400</c:v>
                </c:pt>
              </c:numCache>
            </c:numRef>
          </c:val>
          <c:extLst>
            <c:ext xmlns:c16="http://schemas.microsoft.com/office/drawing/2014/chart" uri="{C3380CC4-5D6E-409C-BE32-E72D297353CC}">
              <c16:uniqueId val="{0000000A-82FE-4F7E-B134-35F003A522DF}"/>
            </c:ext>
          </c:extLst>
        </c:ser>
        <c:dLbls>
          <c:dLblPos val="outEnd"/>
          <c:showLegendKey val="0"/>
          <c:showVal val="1"/>
          <c:showCatName val="0"/>
          <c:showSerName val="0"/>
          <c:showPercent val="0"/>
          <c:showBubbleSize val="0"/>
        </c:dLbls>
        <c:gapWidth val="100"/>
        <c:axId val="1219604303"/>
        <c:axId val="1219603823"/>
      </c:barChart>
      <c:valAx>
        <c:axId val="121960382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219604303"/>
        <c:crosses val="autoZero"/>
        <c:crossBetween val="between"/>
      </c:valAx>
      <c:catAx>
        <c:axId val="121960430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600" b="1" i="0" u="none" strike="noStrike" kern="1200" baseline="0">
                <a:solidFill>
                  <a:schemeClr val="tx1"/>
                </a:solidFill>
                <a:latin typeface="Bahnschrift Condensed" panose="020B0502040204020203" pitchFamily="34" charset="0"/>
                <a:ea typeface="+mn-ea"/>
                <a:cs typeface="+mn-cs"/>
              </a:defRPr>
            </a:pPr>
            <a:endParaRPr lang="en-US"/>
          </a:p>
        </c:txPr>
        <c:crossAx val="12196038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a:noFill/>
    </a:ln>
    <a:effectLst>
      <a:glow rad="63500">
        <a:schemeClr val="accent5">
          <a:satMod val="175000"/>
          <a:alpha val="40000"/>
        </a:schemeClr>
      </a:glo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eg"/><Relationship Id="rId6" Type="http://schemas.openxmlformats.org/officeDocument/2006/relationships/chart" Target="../charts/chart6.xml"/><Relationship Id="rId5" Type="http://schemas.microsoft.com/office/2007/relationships/hdphoto" Target="../media/hdphoto1.wdp"/><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28575</xdr:colOff>
      <xdr:row>10</xdr:row>
      <xdr:rowOff>57150</xdr:rowOff>
    </xdr:from>
    <xdr:to>
      <xdr:col>5</xdr:col>
      <xdr:colOff>523875</xdr:colOff>
      <xdr:row>24</xdr:row>
      <xdr:rowOff>133350</xdr:rowOff>
    </xdr:to>
    <xdr:graphicFrame macro="">
      <xdr:nvGraphicFramePr>
        <xdr:cNvPr id="2" name="Chart 1">
          <a:extLst>
            <a:ext uri="{FF2B5EF4-FFF2-40B4-BE49-F238E27FC236}">
              <a16:creationId xmlns:a16="http://schemas.microsoft.com/office/drawing/2014/main" id="{A62A844A-6BCA-C6A2-BE62-5C25939E6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57150</xdr:rowOff>
    </xdr:from>
    <xdr:to>
      <xdr:col>11</xdr:col>
      <xdr:colOff>495300</xdr:colOff>
      <xdr:row>24</xdr:row>
      <xdr:rowOff>133350</xdr:rowOff>
    </xdr:to>
    <xdr:graphicFrame macro="">
      <xdr:nvGraphicFramePr>
        <xdr:cNvPr id="3" name="Chart 2">
          <a:extLst>
            <a:ext uri="{FF2B5EF4-FFF2-40B4-BE49-F238E27FC236}">
              <a16:creationId xmlns:a16="http://schemas.microsoft.com/office/drawing/2014/main" id="{0458383B-0177-27AE-D608-E3EB0B7B6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209550</xdr:colOff>
      <xdr:row>16</xdr:row>
      <xdr:rowOff>171450</xdr:rowOff>
    </xdr:from>
    <xdr:to>
      <xdr:col>18</xdr:col>
      <xdr:colOff>95250</xdr:colOff>
      <xdr:row>31</xdr:row>
      <xdr:rowOff>57150</xdr:rowOff>
    </xdr:to>
    <xdr:graphicFrame macro="">
      <xdr:nvGraphicFramePr>
        <xdr:cNvPr id="4" name="Chart 3">
          <a:extLst>
            <a:ext uri="{FF2B5EF4-FFF2-40B4-BE49-F238E27FC236}">
              <a16:creationId xmlns:a16="http://schemas.microsoft.com/office/drawing/2014/main" id="{8F3C7D24-BC3C-4376-6D2C-83D49B829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581025</xdr:colOff>
      <xdr:row>1</xdr:row>
      <xdr:rowOff>9525</xdr:rowOff>
    </xdr:from>
    <xdr:to>
      <xdr:col>5</xdr:col>
      <xdr:colOff>581025</xdr:colOff>
      <xdr:row>9</xdr:row>
      <xdr:rowOff>57150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B54648F5-767B-0F08-48CC-03FB56CA7EC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828925" y="200025"/>
              <a:ext cx="1828800"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476250</xdr:colOff>
      <xdr:row>0</xdr:row>
      <xdr:rowOff>95250</xdr:rowOff>
    </xdr:from>
    <xdr:to>
      <xdr:col>12</xdr:col>
      <xdr:colOff>476250</xdr:colOff>
      <xdr:row>9</xdr:row>
      <xdr:rowOff>142875</xdr:rowOff>
    </xdr:to>
    <mc:AlternateContent xmlns:mc="http://schemas.openxmlformats.org/markup-compatibility/2006" xmlns:a14="http://schemas.microsoft.com/office/drawing/2010/main">
      <mc:Choice Requires="a14">
        <xdr:graphicFrame macro="">
          <xdr:nvGraphicFramePr>
            <xdr:cNvPr id="6" name="Product 2">
              <a:extLst>
                <a:ext uri="{FF2B5EF4-FFF2-40B4-BE49-F238E27FC236}">
                  <a16:creationId xmlns:a16="http://schemas.microsoft.com/office/drawing/2014/main" id="{89DAF6AC-5B84-8A6F-E55C-538017A05F87}"/>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8020050" y="95250"/>
              <a:ext cx="182880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161925</xdr:colOff>
      <xdr:row>1</xdr:row>
      <xdr:rowOff>38100</xdr:rowOff>
    </xdr:from>
    <xdr:to>
      <xdr:col>19</xdr:col>
      <xdr:colOff>161925</xdr:colOff>
      <xdr:row>6</xdr:row>
      <xdr:rowOff>161925</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779C9E91-DADA-E420-9559-10DFC83AE98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001625" y="228600"/>
              <a:ext cx="1828800" cy="107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123824</xdr:colOff>
      <xdr:row>0</xdr:row>
      <xdr:rowOff>104774</xdr:rowOff>
    </xdr:from>
    <xdr:to>
      <xdr:col>17</xdr:col>
      <xdr:colOff>285750</xdr:colOff>
      <xdr:row>39</xdr:row>
      <xdr:rowOff>51955</xdr:rowOff>
    </xdr:to>
    <xdr:pic>
      <xdr:nvPicPr>
        <xdr:cNvPr id="11" name="Picture 10">
          <a:extLst>
            <a:ext uri="{FF2B5EF4-FFF2-40B4-BE49-F238E27FC236}">
              <a16:creationId xmlns:a16="http://schemas.microsoft.com/office/drawing/2014/main" id="{FFA1B052-C0D3-2514-C1AE-461E2146B3DE}"/>
            </a:ext>
          </a:extLst>
        </xdr:cNvPr>
        <xdr:cNvPicPr>
          <a:picLocks noChangeAspect="1"/>
        </xdr:cNvPicPr>
      </xdr:nvPicPr>
      <xdr:blipFill>
        <a:blip xmlns:r="http://schemas.openxmlformats.org/officeDocument/2006/relationships" r:embed="rId1" cstate="print">
          <a:biLevel thresh="25000"/>
          <a:alphaModFix amt="5000"/>
          <a:extLst>
            <a:ext uri="{28A0092B-C50C-407E-A947-70E740481C1C}">
              <a14:useLocalDpi xmlns:a14="http://schemas.microsoft.com/office/drawing/2010/main" val="0"/>
            </a:ext>
          </a:extLst>
        </a:blip>
        <a:stretch>
          <a:fillRect/>
        </a:stretch>
      </xdr:blipFill>
      <xdr:spPr>
        <a:xfrm>
          <a:off x="123824" y="104774"/>
          <a:ext cx="11565949" cy="7038976"/>
        </a:xfrm>
        <a:prstGeom prst="rect">
          <a:avLst/>
        </a:prstGeom>
        <a:ln>
          <a:noFill/>
        </a:ln>
        <a:effectLst>
          <a:softEdge rad="112500"/>
        </a:effectLst>
      </xdr:spPr>
    </xdr:pic>
    <xdr:clientData/>
  </xdr:twoCellAnchor>
  <xdr:twoCellAnchor>
    <xdr:from>
      <xdr:col>9</xdr:col>
      <xdr:colOff>289365</xdr:colOff>
      <xdr:row>9</xdr:row>
      <xdr:rowOff>163975</xdr:rowOff>
    </xdr:from>
    <xdr:to>
      <xdr:col>17</xdr:col>
      <xdr:colOff>0</xdr:colOff>
      <xdr:row>22</xdr:row>
      <xdr:rowOff>47993</xdr:rowOff>
    </xdr:to>
    <xdr:sp macro="" textlink="">
      <xdr:nvSpPr>
        <xdr:cNvPr id="5" name="Rectangle: Rounded Corners 4">
          <a:extLst>
            <a:ext uri="{FF2B5EF4-FFF2-40B4-BE49-F238E27FC236}">
              <a16:creationId xmlns:a16="http://schemas.microsoft.com/office/drawing/2014/main" id="{B3E724E6-954C-75FF-0F57-3F91667CEFD3}"/>
            </a:ext>
          </a:extLst>
        </xdr:cNvPr>
        <xdr:cNvSpPr/>
      </xdr:nvSpPr>
      <xdr:spPr>
        <a:xfrm>
          <a:off x="6895984" y="1790099"/>
          <a:ext cx="4612573" cy="2232863"/>
        </a:xfrm>
        <a:prstGeom prst="roundRect">
          <a:avLst>
            <a:gd name="adj" fmla="val 3119"/>
          </a:avLst>
        </a:prstGeom>
        <a:solidFill>
          <a:schemeClr val="accent1">
            <a:lumMod val="20000"/>
            <a:lumOff val="80000"/>
          </a:schemeClr>
        </a:solidFill>
        <a:ln>
          <a:noFill/>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1171576</xdr:colOff>
      <xdr:row>9</xdr:row>
      <xdr:rowOff>155335</xdr:rowOff>
    </xdr:from>
    <xdr:to>
      <xdr:col>9</xdr:col>
      <xdr:colOff>183266</xdr:colOff>
      <xdr:row>22</xdr:row>
      <xdr:rowOff>47992</xdr:rowOff>
    </xdr:to>
    <xdr:sp macro="" textlink="">
      <xdr:nvSpPr>
        <xdr:cNvPr id="6" name="Rectangle: Rounded Corners 5">
          <a:extLst>
            <a:ext uri="{FF2B5EF4-FFF2-40B4-BE49-F238E27FC236}">
              <a16:creationId xmlns:a16="http://schemas.microsoft.com/office/drawing/2014/main" id="{65AFEC34-F0A2-4D8A-AD1C-620CE6F39CF8}"/>
            </a:ext>
          </a:extLst>
        </xdr:cNvPr>
        <xdr:cNvSpPr/>
      </xdr:nvSpPr>
      <xdr:spPr>
        <a:xfrm>
          <a:off x="2097551" y="1804727"/>
          <a:ext cx="4663993" cy="2275113"/>
        </a:xfrm>
        <a:prstGeom prst="roundRect">
          <a:avLst>
            <a:gd name="adj" fmla="val 3119"/>
          </a:avLst>
        </a:prstGeom>
        <a:solidFill>
          <a:schemeClr val="accent1">
            <a:lumMod val="20000"/>
            <a:lumOff val="80000"/>
          </a:schemeClr>
        </a:solidFill>
        <a:ln>
          <a:noFill/>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1171577</xdr:colOff>
      <xdr:row>22</xdr:row>
      <xdr:rowOff>135038</xdr:rowOff>
    </xdr:from>
    <xdr:to>
      <xdr:col>16</xdr:col>
      <xdr:colOff>604888</xdr:colOff>
      <xdr:row>37</xdr:row>
      <xdr:rowOff>57874</xdr:rowOff>
    </xdr:to>
    <xdr:sp macro="" textlink="">
      <xdr:nvSpPr>
        <xdr:cNvPr id="7" name="Rectangle: Rounded Corners 6">
          <a:extLst>
            <a:ext uri="{FF2B5EF4-FFF2-40B4-BE49-F238E27FC236}">
              <a16:creationId xmlns:a16="http://schemas.microsoft.com/office/drawing/2014/main" id="{DE03CE3D-D827-43A8-A0E4-FBB6EFBB1B50}"/>
            </a:ext>
          </a:extLst>
        </xdr:cNvPr>
        <xdr:cNvSpPr/>
      </xdr:nvSpPr>
      <xdr:spPr>
        <a:xfrm>
          <a:off x="2090690" y="4110007"/>
          <a:ext cx="9410012" cy="2633042"/>
        </a:xfrm>
        <a:prstGeom prst="roundRect">
          <a:avLst>
            <a:gd name="adj" fmla="val 3119"/>
          </a:avLst>
        </a:prstGeom>
        <a:solidFill>
          <a:schemeClr val="accent1">
            <a:lumMod val="20000"/>
            <a:lumOff val="80000"/>
          </a:schemeClr>
        </a:solidFill>
        <a:ln>
          <a:noFill/>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247650</xdr:colOff>
      <xdr:row>14</xdr:row>
      <xdr:rowOff>135037</xdr:rowOff>
    </xdr:from>
    <xdr:to>
      <xdr:col>1</xdr:col>
      <xdr:colOff>1076325</xdr:colOff>
      <xdr:row>25</xdr:row>
      <xdr:rowOff>28946</xdr:rowOff>
    </xdr:to>
    <xdr:sp macro="" textlink="">
      <xdr:nvSpPr>
        <xdr:cNvPr id="3" name="Rectangle: Diagonal Corners Rounded 2">
          <a:extLst>
            <a:ext uri="{FF2B5EF4-FFF2-40B4-BE49-F238E27FC236}">
              <a16:creationId xmlns:a16="http://schemas.microsoft.com/office/drawing/2014/main" id="{284B0180-DA55-4B61-AF06-87EF36AB648B}"/>
            </a:ext>
          </a:extLst>
        </xdr:cNvPr>
        <xdr:cNvSpPr/>
      </xdr:nvSpPr>
      <xdr:spPr>
        <a:xfrm>
          <a:off x="247650" y="2700759"/>
          <a:ext cx="1754650" cy="1909833"/>
        </a:xfrm>
        <a:prstGeom prst="round2DiagRect">
          <a:avLst/>
        </a:prstGeom>
        <a:solidFill>
          <a:schemeClr val="bg1">
            <a:lumMod val="95000"/>
          </a:schemeClr>
        </a:solidFill>
        <a:ln>
          <a:solidFill>
            <a:schemeClr val="tx2">
              <a:lumMod val="75000"/>
              <a:lumOff val="25000"/>
            </a:schemeClr>
          </a:solidFill>
        </a:ln>
      </xdr:spPr>
      <xdr:style>
        <a:lnRef idx="0">
          <a:schemeClr val="dk1"/>
        </a:lnRef>
        <a:fillRef idx="3">
          <a:schemeClr val="dk1"/>
        </a:fillRef>
        <a:effectRef idx="3">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twoCellAnchor>
    <xdr:from>
      <xdr:col>0</xdr:col>
      <xdr:colOff>238125</xdr:colOff>
      <xdr:row>25</xdr:row>
      <xdr:rowOff>135037</xdr:rowOff>
    </xdr:from>
    <xdr:to>
      <xdr:col>1</xdr:col>
      <xdr:colOff>1047750</xdr:colOff>
      <xdr:row>37</xdr:row>
      <xdr:rowOff>54989</xdr:rowOff>
    </xdr:to>
    <xdr:sp macro="" textlink="">
      <xdr:nvSpPr>
        <xdr:cNvPr id="4" name="Rectangle: Diagonal Corners Rounded 3">
          <a:extLst>
            <a:ext uri="{FF2B5EF4-FFF2-40B4-BE49-F238E27FC236}">
              <a16:creationId xmlns:a16="http://schemas.microsoft.com/office/drawing/2014/main" id="{432CBF31-DD01-4D14-BDAA-0F79D498AAF2}"/>
            </a:ext>
          </a:extLst>
        </xdr:cNvPr>
        <xdr:cNvSpPr/>
      </xdr:nvSpPr>
      <xdr:spPr>
        <a:xfrm>
          <a:off x="238125" y="4652047"/>
          <a:ext cx="1728738" cy="2088117"/>
        </a:xfrm>
        <a:prstGeom prst="round2DiagRect">
          <a:avLst/>
        </a:prstGeom>
        <a:solidFill>
          <a:schemeClr val="bg1">
            <a:lumMod val="95000"/>
          </a:schemeClr>
        </a:solidFill>
        <a:ln>
          <a:solidFill>
            <a:schemeClr val="tx2">
              <a:lumMod val="75000"/>
              <a:lumOff val="25000"/>
            </a:schemeClr>
          </a:solidFill>
        </a:ln>
      </xdr:spPr>
      <xdr:style>
        <a:lnRef idx="0">
          <a:schemeClr val="dk1"/>
        </a:lnRef>
        <a:fillRef idx="3">
          <a:schemeClr val="dk1"/>
        </a:fillRef>
        <a:effectRef idx="3">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twoCellAnchor>
    <xdr:from>
      <xdr:col>0</xdr:col>
      <xdr:colOff>266700</xdr:colOff>
      <xdr:row>7</xdr:row>
      <xdr:rowOff>18334</xdr:rowOff>
    </xdr:from>
    <xdr:to>
      <xdr:col>1</xdr:col>
      <xdr:colOff>1095375</xdr:colOff>
      <xdr:row>14</xdr:row>
      <xdr:rowOff>19299</xdr:rowOff>
    </xdr:to>
    <xdr:sp macro="" textlink="">
      <xdr:nvSpPr>
        <xdr:cNvPr id="2" name="Rectangle: Diagonal Corners Rounded 1">
          <a:extLst>
            <a:ext uri="{FF2B5EF4-FFF2-40B4-BE49-F238E27FC236}">
              <a16:creationId xmlns:a16="http://schemas.microsoft.com/office/drawing/2014/main" id="{C7038D4A-B609-4AD2-D319-EF47CCFB876B}"/>
            </a:ext>
          </a:extLst>
        </xdr:cNvPr>
        <xdr:cNvSpPr/>
      </xdr:nvSpPr>
      <xdr:spPr>
        <a:xfrm>
          <a:off x="266700" y="1301195"/>
          <a:ext cx="1754650" cy="1283826"/>
        </a:xfrm>
        <a:prstGeom prst="round2DiagRect">
          <a:avLst/>
        </a:prstGeom>
        <a:solidFill>
          <a:schemeClr val="bg1">
            <a:lumMod val="95000"/>
          </a:schemeClr>
        </a:solidFill>
        <a:ln>
          <a:solidFill>
            <a:schemeClr val="tx2">
              <a:lumMod val="75000"/>
              <a:lumOff val="25000"/>
            </a:schemeClr>
          </a:solidFill>
        </a:ln>
      </xdr:spPr>
      <xdr:style>
        <a:lnRef idx="0">
          <a:schemeClr val="dk1"/>
        </a:lnRef>
        <a:fillRef idx="3">
          <a:schemeClr val="dk1"/>
        </a:fillRef>
        <a:effectRef idx="3">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twoCellAnchor>
    <xdr:from>
      <xdr:col>9</xdr:col>
      <xdr:colOff>142875</xdr:colOff>
      <xdr:row>5</xdr:row>
      <xdr:rowOff>152400</xdr:rowOff>
    </xdr:from>
    <xdr:to>
      <xdr:col>16</xdr:col>
      <xdr:colOff>66674</xdr:colOff>
      <xdr:row>18</xdr:row>
      <xdr:rowOff>180975</xdr:rowOff>
    </xdr:to>
    <xdr:sp macro="" textlink="">
      <xdr:nvSpPr>
        <xdr:cNvPr id="13" name="Rectangle: Rounded Corners 12">
          <a:extLst>
            <a:ext uri="{FF2B5EF4-FFF2-40B4-BE49-F238E27FC236}">
              <a16:creationId xmlns:a16="http://schemas.microsoft.com/office/drawing/2014/main" id="{44396A12-53B6-4202-BA33-D2CD93FFAA93}"/>
            </a:ext>
          </a:extLst>
        </xdr:cNvPr>
        <xdr:cNvSpPr/>
      </xdr:nvSpPr>
      <xdr:spPr>
        <a:xfrm>
          <a:off x="6657975" y="1104900"/>
          <a:ext cx="4190999" cy="2505075"/>
        </a:xfrm>
        <a:prstGeom prst="roundRect">
          <a:avLst>
            <a:gd name="adj" fmla="val 7542"/>
          </a:avLst>
        </a:prstGeom>
        <a:noFill/>
        <a:ln>
          <a:solidFill>
            <a:srgbClr val="FF0000"/>
          </a:solidFill>
        </a:ln>
        <a:effectLst>
          <a:glow rad="101600">
            <a:schemeClr val="accent1">
              <a:satMod val="175000"/>
              <a:alpha val="40000"/>
            </a:schemeClr>
          </a:glow>
          <a:outerShdw blurRad="50800" dist="38100" dir="2700000" algn="tl" rotWithShape="0">
            <a:prstClr val="black">
              <a:alpha val="40000"/>
            </a:prstClr>
          </a:outerShdw>
          <a:softEdge rad="3175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bg2">
                <a:lumMod val="50000"/>
              </a:schemeClr>
            </a:solidFill>
          </a:endParaRPr>
        </a:p>
      </xdr:txBody>
    </xdr:sp>
    <xdr:clientData/>
  </xdr:twoCellAnchor>
  <xdr:twoCellAnchor>
    <xdr:from>
      <xdr:col>1</xdr:col>
      <xdr:colOff>1190625</xdr:colOff>
      <xdr:row>5</xdr:row>
      <xdr:rowOff>152400</xdr:rowOff>
    </xdr:from>
    <xdr:to>
      <xdr:col>8</xdr:col>
      <xdr:colOff>371474</xdr:colOff>
      <xdr:row>18</xdr:row>
      <xdr:rowOff>180975</xdr:rowOff>
    </xdr:to>
    <xdr:sp macro="" textlink="">
      <xdr:nvSpPr>
        <xdr:cNvPr id="14" name="Rectangle: Rounded Corners 13">
          <a:extLst>
            <a:ext uri="{FF2B5EF4-FFF2-40B4-BE49-F238E27FC236}">
              <a16:creationId xmlns:a16="http://schemas.microsoft.com/office/drawing/2014/main" id="{3D4DAAAF-C141-4BFC-A3F7-1F0F23362CC7}"/>
            </a:ext>
          </a:extLst>
        </xdr:cNvPr>
        <xdr:cNvSpPr/>
      </xdr:nvSpPr>
      <xdr:spPr>
        <a:xfrm>
          <a:off x="2085975" y="1104900"/>
          <a:ext cx="4190999" cy="2505075"/>
        </a:xfrm>
        <a:prstGeom prst="roundRect">
          <a:avLst>
            <a:gd name="adj" fmla="val 7542"/>
          </a:avLst>
        </a:prstGeom>
        <a:noFill/>
        <a:ln>
          <a:solidFill>
            <a:schemeClr val="bg2"/>
          </a:solidFill>
        </a:ln>
        <a:effectLst>
          <a:glow rad="101600">
            <a:schemeClr val="accent5">
              <a:satMod val="175000"/>
              <a:alpha val="40000"/>
            </a:schemeClr>
          </a:glow>
          <a:outerShdw blurRad="50800" dist="38100" dir="2700000" algn="tl" rotWithShape="0">
            <a:prstClr val="black">
              <a:alpha val="40000"/>
            </a:prstClr>
          </a:outerShdw>
          <a:softEdge rad="3175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bg2">
                <a:lumMod val="50000"/>
              </a:schemeClr>
            </a:solidFill>
          </a:endParaRPr>
        </a:p>
      </xdr:txBody>
    </xdr:sp>
    <xdr:clientData/>
  </xdr:twoCellAnchor>
  <xdr:twoCellAnchor>
    <xdr:from>
      <xdr:col>1</xdr:col>
      <xdr:colOff>1247776</xdr:colOff>
      <xdr:row>19</xdr:row>
      <xdr:rowOff>171450</xdr:rowOff>
    </xdr:from>
    <xdr:to>
      <xdr:col>16</xdr:col>
      <xdr:colOff>57150</xdr:colOff>
      <xdr:row>32</xdr:row>
      <xdr:rowOff>85725</xdr:rowOff>
    </xdr:to>
    <xdr:sp macro="" textlink="">
      <xdr:nvSpPr>
        <xdr:cNvPr id="15" name="Rectangle: Rounded Corners 14">
          <a:extLst>
            <a:ext uri="{FF2B5EF4-FFF2-40B4-BE49-F238E27FC236}">
              <a16:creationId xmlns:a16="http://schemas.microsoft.com/office/drawing/2014/main" id="{B64C4FF7-D328-45E3-9CFA-42923E0EED34}"/>
            </a:ext>
          </a:extLst>
        </xdr:cNvPr>
        <xdr:cNvSpPr/>
      </xdr:nvSpPr>
      <xdr:spPr>
        <a:xfrm>
          <a:off x="2143126" y="3790950"/>
          <a:ext cx="8696324" cy="2390775"/>
        </a:xfrm>
        <a:prstGeom prst="roundRect">
          <a:avLst>
            <a:gd name="adj" fmla="val 7542"/>
          </a:avLst>
        </a:prstGeom>
        <a:noFill/>
        <a:ln>
          <a:solidFill>
            <a:schemeClr val="bg2"/>
          </a:solidFill>
        </a:ln>
        <a:effectLst>
          <a:glow rad="101600">
            <a:schemeClr val="accent1">
              <a:satMod val="175000"/>
              <a:alpha val="40000"/>
            </a:schemeClr>
          </a:glow>
          <a:outerShdw blurRad="50800" dist="38100" dir="2700000" algn="tl" rotWithShape="0">
            <a:prstClr val="black">
              <a:alpha val="40000"/>
            </a:prstClr>
          </a:outerShdw>
          <a:softEdge rad="3175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bg2">
                <a:lumMod val="50000"/>
              </a:schemeClr>
            </a:solidFill>
          </a:endParaRPr>
        </a:p>
      </xdr:txBody>
    </xdr:sp>
    <xdr:clientData/>
  </xdr:twoCellAnchor>
  <xdr:twoCellAnchor>
    <xdr:from>
      <xdr:col>1</xdr:col>
      <xdr:colOff>559443</xdr:colOff>
      <xdr:row>9</xdr:row>
      <xdr:rowOff>154329</xdr:rowOff>
    </xdr:from>
    <xdr:to>
      <xdr:col>7</xdr:col>
      <xdr:colOff>432121</xdr:colOff>
      <xdr:row>22</xdr:row>
      <xdr:rowOff>115381</xdr:rowOff>
    </xdr:to>
    <xdr:graphicFrame macro="">
      <xdr:nvGraphicFramePr>
        <xdr:cNvPr id="19" name="Chart 18">
          <a:extLst>
            <a:ext uri="{FF2B5EF4-FFF2-40B4-BE49-F238E27FC236}">
              <a16:creationId xmlns:a16="http://schemas.microsoft.com/office/drawing/2014/main" id="{170213E1-E97A-4E0A-A21E-2E2C9F072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1171574</xdr:colOff>
      <xdr:row>22</xdr:row>
      <xdr:rowOff>155864</xdr:rowOff>
    </xdr:from>
    <xdr:to>
      <xdr:col>16</xdr:col>
      <xdr:colOff>604887</xdr:colOff>
      <xdr:row>37</xdr:row>
      <xdr:rowOff>38582</xdr:rowOff>
    </xdr:to>
    <xdr:graphicFrame macro="">
      <xdr:nvGraphicFramePr>
        <xdr:cNvPr id="21" name="Chart 20">
          <a:extLst>
            <a:ext uri="{FF2B5EF4-FFF2-40B4-BE49-F238E27FC236}">
              <a16:creationId xmlns:a16="http://schemas.microsoft.com/office/drawing/2014/main" id="{09C374DA-BC6C-4A87-B20C-F2D54DAC4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361950</xdr:colOff>
      <xdr:row>15</xdr:row>
      <xdr:rowOff>125164</xdr:rowOff>
    </xdr:from>
    <xdr:to>
      <xdr:col>1</xdr:col>
      <xdr:colOff>962026</xdr:colOff>
      <xdr:row>24</xdr:row>
      <xdr:rowOff>96463</xdr:rowOff>
    </xdr:to>
    <mc:AlternateContent xmlns:mc="http://schemas.openxmlformats.org/markup-compatibility/2006" xmlns:a14="http://schemas.microsoft.com/office/drawing/2010/main">
      <mc:Choice Requires="a14">
        <xdr:graphicFrame macro="">
          <xdr:nvGraphicFramePr>
            <xdr:cNvPr id="22" name="Region 4">
              <a:extLst>
                <a:ext uri="{FF2B5EF4-FFF2-40B4-BE49-F238E27FC236}">
                  <a16:creationId xmlns:a16="http://schemas.microsoft.com/office/drawing/2014/main" id="{4E62BB9F-8878-42C1-A408-D106A84D8CD1}"/>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361950" y="2835370"/>
              <a:ext cx="1519189" cy="1597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333374</xdr:colOff>
      <xdr:row>26</xdr:row>
      <xdr:rowOff>96466</xdr:rowOff>
    </xdr:from>
    <xdr:to>
      <xdr:col>1</xdr:col>
      <xdr:colOff>960781</xdr:colOff>
      <xdr:row>36</xdr:row>
      <xdr:rowOff>124804</xdr:rowOff>
    </xdr:to>
    <mc:AlternateContent xmlns:mc="http://schemas.openxmlformats.org/markup-compatibility/2006" xmlns:a14="http://schemas.microsoft.com/office/drawing/2010/main">
      <mc:Choice Requires="a14">
        <xdr:graphicFrame macro="">
          <xdr:nvGraphicFramePr>
            <xdr:cNvPr id="23" name="Product 3">
              <a:extLst>
                <a:ext uri="{FF2B5EF4-FFF2-40B4-BE49-F238E27FC236}">
                  <a16:creationId xmlns:a16="http://schemas.microsoft.com/office/drawing/2014/main" id="{3C680CF1-FE7E-4629-BB8E-397CDC2CD2FE}"/>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333374" y="4794157"/>
              <a:ext cx="1546520" cy="1835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342899</xdr:colOff>
      <xdr:row>8</xdr:row>
      <xdr:rowOff>18939</xdr:rowOff>
    </xdr:from>
    <xdr:to>
      <xdr:col>1</xdr:col>
      <xdr:colOff>990600</xdr:colOff>
      <xdr:row>13</xdr:row>
      <xdr:rowOff>76089</xdr:rowOff>
    </xdr:to>
    <mc:AlternateContent xmlns:mc="http://schemas.openxmlformats.org/markup-compatibility/2006" xmlns:a14="http://schemas.microsoft.com/office/drawing/2010/main">
      <mc:Choice Requires="a14">
        <xdr:graphicFrame macro="">
          <xdr:nvGraphicFramePr>
            <xdr:cNvPr id="24" name="Year 2">
              <a:extLst>
                <a:ext uri="{FF2B5EF4-FFF2-40B4-BE49-F238E27FC236}">
                  <a16:creationId xmlns:a16="http://schemas.microsoft.com/office/drawing/2014/main" id="{E60A4F56-2CED-4D1D-9D13-B2274329DF2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42899" y="1464382"/>
              <a:ext cx="1566814" cy="960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549801</xdr:colOff>
      <xdr:row>9</xdr:row>
      <xdr:rowOff>163620</xdr:rowOff>
    </xdr:from>
    <xdr:to>
      <xdr:col>9</xdr:col>
      <xdr:colOff>270080</xdr:colOff>
      <xdr:row>11</xdr:row>
      <xdr:rowOff>163620</xdr:rowOff>
    </xdr:to>
    <xdr:sp macro="" textlink="">
      <xdr:nvSpPr>
        <xdr:cNvPr id="26" name="Text Box 1">
          <a:extLst>
            <a:ext uri="{FF2B5EF4-FFF2-40B4-BE49-F238E27FC236}">
              <a16:creationId xmlns:a16="http://schemas.microsoft.com/office/drawing/2014/main" id="{4077C131-6963-4E08-B323-EDB90ACB07C6}"/>
            </a:ext>
          </a:extLst>
        </xdr:cNvPr>
        <xdr:cNvSpPr txBox="1">
          <a:spLocks noChangeArrowheads="1"/>
        </xdr:cNvSpPr>
      </xdr:nvSpPr>
      <xdr:spPr bwMode="auto">
        <a:xfrm>
          <a:off x="4697396" y="1813012"/>
          <a:ext cx="2150962" cy="366532"/>
        </a:xfrm>
        <a:prstGeom prst="rect">
          <a:avLst/>
        </a:prstGeom>
        <a:noFill/>
        <a:ln w="9525">
          <a:noFill/>
          <a:miter lim="800000"/>
          <a:headEnd/>
          <a:tailEnd/>
        </a:ln>
      </xdr:spPr>
      <xdr:txBody>
        <a:bodyPr vertOverflow="clip" wrap="square" lIns="27432" tIns="27432" rIns="0" bIns="0" anchor="t" upright="1"/>
        <a:lstStyle/>
        <a:p>
          <a:pPr marL="0" indent="0" algn="l" rtl="0">
            <a:defRPr sz="1000"/>
          </a:pPr>
          <a:r>
            <a:rPr lang="en-IN" sz="1800" b="1" i="0" u="none" strike="noStrike" cap="none" spc="0" baseline="0">
              <a:ln w="0"/>
              <a:solidFill>
                <a:schemeClr val="tx1"/>
              </a:solidFill>
              <a:effectLst>
                <a:outerShdw blurRad="60007" dist="310007" dir="7680000" sy="30000" kx="1300200" algn="ctr" rotWithShape="0">
                  <a:prstClr val="black">
                    <a:alpha val="32000"/>
                  </a:prstClr>
                </a:outerShdw>
              </a:effectLst>
              <a:latin typeface="Bahnschrift Condensed" panose="020B0502040204020203" pitchFamily="34" charset="0"/>
              <a:ea typeface="ADLaM Display" panose="02010000000000000000" pitchFamily="2" charset="0"/>
              <a:cs typeface="ADLaM Display" panose="02010000000000000000" pitchFamily="2" charset="0"/>
            </a:rPr>
            <a:t>Region Sales Performance</a:t>
          </a:r>
        </a:p>
      </xdr:txBody>
    </xdr:sp>
    <xdr:clientData/>
  </xdr:twoCellAnchor>
  <xdr:twoCellAnchor editAs="oneCell">
    <xdr:from>
      <xdr:col>0</xdr:col>
      <xdr:colOff>173619</xdr:colOff>
      <xdr:row>0</xdr:row>
      <xdr:rowOff>55872</xdr:rowOff>
    </xdr:from>
    <xdr:to>
      <xdr:col>1</xdr:col>
      <xdr:colOff>1188855</xdr:colOff>
      <xdr:row>7</xdr:row>
      <xdr:rowOff>0</xdr:rowOff>
    </xdr:to>
    <xdr:pic>
      <xdr:nvPicPr>
        <xdr:cNvPr id="28" name="Picture 27">
          <a:extLst>
            <a:ext uri="{FF2B5EF4-FFF2-40B4-BE49-F238E27FC236}">
              <a16:creationId xmlns:a16="http://schemas.microsoft.com/office/drawing/2014/main" id="{DD49CED6-36C4-7F81-8814-ACF20EBF9045}"/>
            </a:ext>
          </a:extLst>
        </xdr:cNvPr>
        <xdr:cNvPicPr>
          <a:picLocks noChangeAspect="1"/>
        </xdr:cNvPicPr>
      </xdr:nvPicPr>
      <xdr:blipFill rotWithShape="1">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rcRect l="22792" t="20943" r="22792" b="24327"/>
        <a:stretch>
          <a:fillRect/>
        </a:stretch>
      </xdr:blipFill>
      <xdr:spPr>
        <a:xfrm>
          <a:off x="173619" y="55872"/>
          <a:ext cx="1941211" cy="1226989"/>
        </a:xfrm>
        <a:prstGeom prst="rect">
          <a:avLst/>
        </a:prstGeom>
        <a:ln>
          <a:noFill/>
        </a:ln>
        <a:effectLst>
          <a:glow rad="63500">
            <a:schemeClr val="accent4">
              <a:satMod val="175000"/>
              <a:alpha val="40000"/>
            </a:schemeClr>
          </a:glow>
          <a:outerShdw blurRad="190500" algn="tl" rotWithShape="0">
            <a:srgbClr val="000000">
              <a:alpha val="70000"/>
            </a:srgbClr>
          </a:outerShdw>
        </a:effectLst>
      </xdr:spPr>
    </xdr:pic>
    <xdr:clientData/>
  </xdr:twoCellAnchor>
  <xdr:twoCellAnchor>
    <xdr:from>
      <xdr:col>13</xdr:col>
      <xdr:colOff>571663</xdr:colOff>
      <xdr:row>22</xdr:row>
      <xdr:rowOff>115020</xdr:rowOff>
    </xdr:from>
    <xdr:to>
      <xdr:col>17</xdr:col>
      <xdr:colOff>571663</xdr:colOff>
      <xdr:row>24</xdr:row>
      <xdr:rowOff>115019</xdr:rowOff>
    </xdr:to>
    <xdr:sp macro="" textlink="">
      <xdr:nvSpPr>
        <xdr:cNvPr id="29" name="Text Box 1">
          <a:extLst>
            <a:ext uri="{FF2B5EF4-FFF2-40B4-BE49-F238E27FC236}">
              <a16:creationId xmlns:a16="http://schemas.microsoft.com/office/drawing/2014/main" id="{52D4C7A9-7E0D-4C6E-B0DA-1A781D3B709C}"/>
            </a:ext>
          </a:extLst>
        </xdr:cNvPr>
        <xdr:cNvSpPr txBox="1">
          <a:spLocks noChangeArrowheads="1"/>
        </xdr:cNvSpPr>
      </xdr:nvSpPr>
      <xdr:spPr bwMode="auto">
        <a:xfrm>
          <a:off x="9551140" y="4115520"/>
          <a:ext cx="2424546" cy="363681"/>
        </a:xfrm>
        <a:prstGeom prst="rect">
          <a:avLst/>
        </a:prstGeom>
        <a:noFill/>
        <a:ln w="9525">
          <a:noFill/>
          <a:miter lim="800000"/>
          <a:headEnd/>
          <a:tailEnd/>
        </a:ln>
      </xdr:spPr>
      <xdr:txBody>
        <a:bodyPr vertOverflow="clip" wrap="square" lIns="27432" tIns="27432" rIns="0" bIns="0" anchor="t" upright="1"/>
        <a:lstStyle/>
        <a:p>
          <a:pPr marL="0" indent="0" algn="l" rtl="0">
            <a:defRPr sz="1000"/>
          </a:pPr>
          <a:r>
            <a:rPr lang="en-IN" sz="1800" b="1" i="0" u="none" strike="noStrike" cap="none" spc="0" baseline="0">
              <a:ln w="0"/>
              <a:solidFill>
                <a:schemeClr val="tx1"/>
              </a:solidFill>
              <a:effectLst>
                <a:outerShdw blurRad="60007" dist="310007" dir="7680000" sy="30000" kx="1300200" algn="ctr" rotWithShape="0">
                  <a:prstClr val="black">
                    <a:alpha val="32000"/>
                  </a:prstClr>
                </a:outerShdw>
              </a:effectLst>
              <a:latin typeface="Bahnschrift Condensed" panose="020B0502040204020203" pitchFamily="34" charset="0"/>
              <a:ea typeface="ADLaM Display" panose="02010000000000000000" pitchFamily="2" charset="0"/>
              <a:cs typeface="ADLaM Display" panose="02010000000000000000" pitchFamily="2" charset="0"/>
            </a:rPr>
            <a:t>Monthly</a:t>
          </a:r>
          <a:r>
            <a:rPr lang="en-IN" sz="1800" b="0" i="0" u="none" strike="noStrike" cap="none" spc="0" baseline="0">
              <a:ln w="0"/>
              <a:solidFill>
                <a:schemeClr val="tx1"/>
              </a:solidFill>
              <a:effectLst>
                <a:outerShdw blurRad="60007" dist="310007" dir="7680000" sy="30000" kx="1300200" algn="ctr" rotWithShape="0">
                  <a:prstClr val="black">
                    <a:alpha val="32000"/>
                  </a:prstClr>
                </a:outerShdw>
              </a:effectLst>
              <a:latin typeface="ADLaM Display" panose="02010000000000000000" pitchFamily="2" charset="0"/>
              <a:ea typeface="ADLaM Display" panose="02010000000000000000" pitchFamily="2" charset="0"/>
              <a:cs typeface="ADLaM Display" panose="02010000000000000000" pitchFamily="2" charset="0"/>
            </a:rPr>
            <a:t> </a:t>
          </a:r>
          <a:r>
            <a:rPr lang="en-IN" sz="1800" b="1" i="0" u="none" strike="noStrike" cap="none" spc="0" baseline="0">
              <a:ln w="0"/>
              <a:solidFill>
                <a:schemeClr val="tx1"/>
              </a:solidFill>
              <a:effectLst>
                <a:outerShdw blurRad="60007" dist="310007" dir="7680000" sy="30000" kx="1300200" algn="ctr" rotWithShape="0">
                  <a:prstClr val="black">
                    <a:alpha val="32000"/>
                  </a:prstClr>
                </a:outerShdw>
              </a:effectLst>
              <a:latin typeface="Bahnschrift Condensed" panose="020B0502040204020203" pitchFamily="34" charset="0"/>
              <a:ea typeface="ADLaM Display" panose="02010000000000000000" pitchFamily="2" charset="0"/>
              <a:cs typeface="ADLaM Display" panose="02010000000000000000" pitchFamily="2" charset="0"/>
            </a:rPr>
            <a:t>Sales</a:t>
          </a:r>
          <a:r>
            <a:rPr lang="en-IN" sz="1800" b="0" i="0" u="none" strike="noStrike" cap="none" spc="0" baseline="0">
              <a:ln w="0"/>
              <a:solidFill>
                <a:schemeClr val="tx1"/>
              </a:solidFill>
              <a:effectLst>
                <a:outerShdw blurRad="60007" dist="310007" dir="7680000" sy="30000" kx="1300200" algn="ctr" rotWithShape="0">
                  <a:prstClr val="black">
                    <a:alpha val="32000"/>
                  </a:prstClr>
                </a:outerShdw>
              </a:effectLst>
              <a:latin typeface="ADLaM Display" panose="02010000000000000000" pitchFamily="2" charset="0"/>
              <a:ea typeface="ADLaM Display" panose="02010000000000000000" pitchFamily="2" charset="0"/>
              <a:cs typeface="ADLaM Display" panose="02010000000000000000" pitchFamily="2" charset="0"/>
            </a:rPr>
            <a:t> </a:t>
          </a:r>
          <a:r>
            <a:rPr lang="en-IN" sz="1800" b="1" i="0" u="none" strike="noStrike" cap="none" spc="0" baseline="0">
              <a:ln w="0"/>
              <a:solidFill>
                <a:schemeClr val="tx1"/>
              </a:solidFill>
              <a:effectLst>
                <a:outerShdw blurRad="60007" dist="310007" dir="7680000" sy="30000" kx="1300200" algn="ctr" rotWithShape="0">
                  <a:prstClr val="black">
                    <a:alpha val="32000"/>
                  </a:prstClr>
                </a:outerShdw>
              </a:effectLst>
              <a:latin typeface="Bahnschrift Condensed" panose="020B0502040204020203" pitchFamily="34" charset="0"/>
              <a:ea typeface="ADLaM Display" panose="02010000000000000000" pitchFamily="2" charset="0"/>
              <a:cs typeface="ADLaM Display" panose="02010000000000000000" pitchFamily="2" charset="0"/>
            </a:rPr>
            <a:t>Trend</a:t>
          </a:r>
        </a:p>
      </xdr:txBody>
    </xdr:sp>
    <xdr:clientData/>
  </xdr:twoCellAnchor>
  <xdr:twoCellAnchor>
    <xdr:from>
      <xdr:col>9</xdr:col>
      <xdr:colOff>334222</xdr:colOff>
      <xdr:row>9</xdr:row>
      <xdr:rowOff>17243</xdr:rowOff>
    </xdr:from>
    <xdr:to>
      <xdr:col>16</xdr:col>
      <xdr:colOff>162771</xdr:colOff>
      <xdr:row>22</xdr:row>
      <xdr:rowOff>17243</xdr:rowOff>
    </xdr:to>
    <xdr:graphicFrame macro="">
      <xdr:nvGraphicFramePr>
        <xdr:cNvPr id="20" name="Chart 19">
          <a:extLst>
            <a:ext uri="{FF2B5EF4-FFF2-40B4-BE49-F238E27FC236}">
              <a16:creationId xmlns:a16="http://schemas.microsoft.com/office/drawing/2014/main" id="{F508BECE-9D75-4B4B-A41D-4A0D7927B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125400</xdr:colOff>
      <xdr:row>9</xdr:row>
      <xdr:rowOff>182911</xdr:rowOff>
    </xdr:from>
    <xdr:to>
      <xdr:col>16</xdr:col>
      <xdr:colOff>530514</xdr:colOff>
      <xdr:row>11</xdr:row>
      <xdr:rowOff>182911</xdr:rowOff>
    </xdr:to>
    <xdr:sp macro="" textlink="">
      <xdr:nvSpPr>
        <xdr:cNvPr id="30" name="Text Box 1">
          <a:extLst>
            <a:ext uri="{FF2B5EF4-FFF2-40B4-BE49-F238E27FC236}">
              <a16:creationId xmlns:a16="http://schemas.microsoft.com/office/drawing/2014/main" id="{99CAB572-D3A8-4DD4-8EAD-13B694BD3676}"/>
            </a:ext>
          </a:extLst>
        </xdr:cNvPr>
        <xdr:cNvSpPr txBox="1">
          <a:spLocks noChangeArrowheads="1"/>
        </xdr:cNvSpPr>
      </xdr:nvSpPr>
      <xdr:spPr bwMode="auto">
        <a:xfrm>
          <a:off x="9134362" y="1832303"/>
          <a:ext cx="2228127" cy="366532"/>
        </a:xfrm>
        <a:prstGeom prst="rect">
          <a:avLst/>
        </a:prstGeom>
        <a:noFill/>
        <a:ln w="9525">
          <a:noFill/>
          <a:miter lim="800000"/>
          <a:headEnd/>
          <a:tailEnd/>
        </a:ln>
      </xdr:spPr>
      <xdr:txBody>
        <a:bodyPr vertOverflow="clip" wrap="square" lIns="27432" tIns="27432" rIns="0" bIns="0" anchor="t" upright="1"/>
        <a:lstStyle/>
        <a:p>
          <a:pPr marL="0" indent="0" algn="l" rtl="0">
            <a:defRPr sz="1000"/>
          </a:pPr>
          <a:r>
            <a:rPr lang="en-IN" sz="1800" b="1" i="0" u="none" strike="noStrike" cap="none" spc="0" baseline="0">
              <a:ln w="0"/>
              <a:solidFill>
                <a:schemeClr val="tx1"/>
              </a:solidFill>
              <a:effectLst>
                <a:outerShdw blurRad="60007" dist="310007" dir="7680000" sy="30000" kx="1300200" algn="ctr" rotWithShape="0">
                  <a:prstClr val="black">
                    <a:alpha val="32000"/>
                  </a:prstClr>
                </a:outerShdw>
              </a:effectLst>
              <a:latin typeface="Bahnschrift Condensed" panose="020B0502040204020203" pitchFamily="34" charset="0"/>
              <a:ea typeface="ADLaM Display" panose="02010000000000000000" pitchFamily="2" charset="0"/>
              <a:cs typeface="ADLaM Display" panose="02010000000000000000" pitchFamily="2" charset="0"/>
            </a:rPr>
            <a:t>Product</a:t>
          </a:r>
          <a:r>
            <a:rPr lang="en-IN" sz="1800" b="0" i="0" u="none" strike="noStrike" cap="none" spc="0" baseline="0">
              <a:ln w="0"/>
              <a:solidFill>
                <a:schemeClr val="tx1"/>
              </a:solidFill>
              <a:effectLst>
                <a:outerShdw blurRad="60007" dist="310007" dir="7680000" sy="30000" kx="1300200" algn="ctr" rotWithShape="0">
                  <a:prstClr val="black">
                    <a:alpha val="32000"/>
                  </a:prstClr>
                </a:outerShdw>
              </a:effectLst>
              <a:latin typeface="ADLaM Display" panose="02010000000000000000" pitchFamily="2" charset="0"/>
              <a:ea typeface="ADLaM Display" panose="02010000000000000000" pitchFamily="2" charset="0"/>
              <a:cs typeface="ADLaM Display" panose="02010000000000000000" pitchFamily="2" charset="0"/>
            </a:rPr>
            <a:t> </a:t>
          </a:r>
          <a:r>
            <a:rPr lang="en-IN" sz="1800" b="1" i="0" u="none" strike="noStrike" cap="none" spc="0" baseline="0">
              <a:ln w="0"/>
              <a:solidFill>
                <a:schemeClr val="tx1"/>
              </a:solidFill>
              <a:effectLst>
                <a:outerShdw blurRad="60007" dist="310007" dir="7680000" sy="30000" kx="1300200" algn="ctr" rotWithShape="0">
                  <a:prstClr val="black">
                    <a:alpha val="32000"/>
                  </a:prstClr>
                </a:outerShdw>
              </a:effectLst>
              <a:latin typeface="Bahnschrift Condensed" panose="020B0502040204020203" pitchFamily="34" charset="0"/>
              <a:ea typeface="ADLaM Display" panose="02010000000000000000" pitchFamily="2" charset="0"/>
              <a:cs typeface="ADLaM Display" panose="02010000000000000000" pitchFamily="2" charset="0"/>
            </a:rPr>
            <a:t>Sales</a:t>
          </a:r>
          <a:r>
            <a:rPr lang="en-IN" sz="1800" b="0" i="0" u="none" strike="noStrike" cap="none" spc="0" baseline="0">
              <a:ln w="0"/>
              <a:solidFill>
                <a:schemeClr val="tx1"/>
              </a:solidFill>
              <a:effectLst>
                <a:outerShdw blurRad="60007" dist="310007" dir="7680000" sy="30000" kx="1300200" algn="ctr" rotWithShape="0">
                  <a:prstClr val="black">
                    <a:alpha val="32000"/>
                  </a:prstClr>
                </a:outerShdw>
              </a:effectLst>
              <a:latin typeface="ADLaM Display" panose="02010000000000000000" pitchFamily="2" charset="0"/>
              <a:ea typeface="ADLaM Display" panose="02010000000000000000" pitchFamily="2" charset="0"/>
              <a:cs typeface="ADLaM Display" panose="02010000000000000000" pitchFamily="2" charset="0"/>
            </a:rPr>
            <a:t> </a:t>
          </a:r>
          <a:r>
            <a:rPr lang="en-IN" sz="1800" b="1" i="0" u="none" strike="noStrike" cap="none" spc="0" baseline="0">
              <a:ln w="0"/>
              <a:solidFill>
                <a:schemeClr val="tx1"/>
              </a:solidFill>
              <a:effectLst>
                <a:outerShdw blurRad="60007" dist="310007" dir="7680000" sy="30000" kx="1300200" algn="ctr" rotWithShape="0">
                  <a:prstClr val="black">
                    <a:alpha val="32000"/>
                  </a:prstClr>
                </a:outerShdw>
              </a:effectLst>
              <a:latin typeface="Bahnschrift Condensed" panose="020B0502040204020203" pitchFamily="34" charset="0"/>
              <a:ea typeface="ADLaM Display" panose="02010000000000000000" pitchFamily="2" charset="0"/>
              <a:cs typeface="ADLaM Display" panose="02010000000000000000" pitchFamily="2" charset="0"/>
            </a:rPr>
            <a:t>Contribution</a:t>
          </a:r>
        </a:p>
      </xdr:txBody>
    </xdr:sp>
    <xdr:clientData/>
  </xdr:twoCellAnchor>
  <xdr:twoCellAnchor>
    <xdr:from>
      <xdr:col>1</xdr:col>
      <xdr:colOff>1109240</xdr:colOff>
      <xdr:row>0</xdr:row>
      <xdr:rowOff>171449</xdr:rowOff>
    </xdr:from>
    <xdr:to>
      <xdr:col>16</xdr:col>
      <xdr:colOff>588378</xdr:colOff>
      <xdr:row>3</xdr:row>
      <xdr:rowOff>133350</xdr:rowOff>
    </xdr:to>
    <xdr:sp macro="" textlink="">
      <xdr:nvSpPr>
        <xdr:cNvPr id="9" name="Rectangle: Diagonal Corners Rounded 8">
          <a:extLst>
            <a:ext uri="{FF2B5EF4-FFF2-40B4-BE49-F238E27FC236}">
              <a16:creationId xmlns:a16="http://schemas.microsoft.com/office/drawing/2014/main" id="{9B6B9F87-315B-F56D-8599-174B1DD61B1A}"/>
            </a:ext>
          </a:extLst>
        </xdr:cNvPr>
        <xdr:cNvSpPr/>
      </xdr:nvSpPr>
      <xdr:spPr>
        <a:xfrm>
          <a:off x="2035215" y="171449"/>
          <a:ext cx="9385138" cy="511698"/>
        </a:xfrm>
        <a:prstGeom prst="round2DiagRect">
          <a:avLst/>
        </a:prstGeom>
        <a:solidFill>
          <a:schemeClr val="accent1">
            <a:lumMod val="20000"/>
            <a:lumOff val="80000"/>
          </a:schemeClr>
        </a:solidFill>
        <a:ln>
          <a:noFill/>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813622</xdr:colOff>
      <xdr:row>0</xdr:row>
      <xdr:rowOff>70696</xdr:rowOff>
    </xdr:from>
    <xdr:to>
      <xdr:col>17</xdr:col>
      <xdr:colOff>174987</xdr:colOff>
      <xdr:row>3</xdr:row>
      <xdr:rowOff>140831</xdr:rowOff>
    </xdr:to>
    <xdr:sp macro="" textlink="">
      <xdr:nvSpPr>
        <xdr:cNvPr id="55297" name="Text Box 1">
          <a:extLst>
            <a:ext uri="{FF2B5EF4-FFF2-40B4-BE49-F238E27FC236}">
              <a16:creationId xmlns:a16="http://schemas.microsoft.com/office/drawing/2014/main" id="{99B7BE76-7F9B-D235-485D-1C3C843AC66A}"/>
            </a:ext>
          </a:extLst>
        </xdr:cNvPr>
        <xdr:cNvSpPr txBox="1">
          <a:spLocks noChangeArrowheads="1"/>
        </xdr:cNvSpPr>
      </xdr:nvSpPr>
      <xdr:spPr bwMode="auto">
        <a:xfrm>
          <a:off x="1732735" y="70696"/>
          <a:ext cx="9950809" cy="612176"/>
        </a:xfrm>
        <a:prstGeom prst="rect">
          <a:avLst/>
        </a:prstGeom>
        <a:noFill/>
        <a:ln w="28575">
          <a:noFill/>
          <a:miter lim="800000"/>
          <a:headEnd/>
          <a:tailEnd/>
        </a:ln>
      </xdr:spPr>
      <xdr:txBody>
        <a:bodyPr vertOverflow="clip" wrap="square" lIns="27432" tIns="27432" rIns="0" bIns="0" anchor="ctr" upright="1"/>
        <a:lstStyle/>
        <a:p>
          <a:pPr algn="l" rtl="0">
            <a:defRPr sz="1000"/>
          </a:pPr>
          <a:r>
            <a:rPr lang="en-IN" sz="4400" b="0" i="0" u="none" strike="noStrike" cap="none" spc="0" baseline="0">
              <a:ln w="0"/>
              <a:solidFill>
                <a:schemeClr val="tx1"/>
              </a:solidFill>
              <a:effectLst>
                <a:outerShdw blurRad="38100" dist="19050" dir="2700000" algn="tl" rotWithShape="0">
                  <a:schemeClr val="dk1">
                    <a:alpha val="40000"/>
                  </a:schemeClr>
                </a:outerShdw>
              </a:effectLst>
              <a:latin typeface="Algerian" panose="04020705040A02060702" pitchFamily="82" charset="0"/>
            </a:rPr>
            <a:t>    </a:t>
          </a:r>
          <a:r>
            <a:rPr lang="en-IN" sz="4400" b="0" i="0" u="none" strike="noStrike" cap="none" spc="0" baseline="0">
              <a:ln w="0"/>
              <a:solidFill>
                <a:schemeClr val="tx1"/>
              </a:solidFill>
              <a:effectLst>
                <a:outerShdw blurRad="60007" dist="310007" dir="7680000" sy="30000" kx="1300200" algn="ctr" rotWithShape="0">
                  <a:prstClr val="black">
                    <a:alpha val="32000"/>
                  </a:prstClr>
                </a:outerShdw>
              </a:effectLst>
              <a:latin typeface="Algerian" panose="04020705040A02060702" pitchFamily="82" charset="0"/>
            </a:rPr>
            <a:t>Sales Performance Dashboard</a:t>
          </a:r>
        </a:p>
      </xdr:txBody>
    </xdr:sp>
    <xdr:clientData/>
  </xdr:twoCellAnchor>
  <xdr:twoCellAnchor>
    <xdr:from>
      <xdr:col>1</xdr:col>
      <xdr:colOff>1159397</xdr:colOff>
      <xdr:row>4</xdr:row>
      <xdr:rowOff>37615</xdr:rowOff>
    </xdr:from>
    <xdr:to>
      <xdr:col>4</xdr:col>
      <xdr:colOff>318303</xdr:colOff>
      <xdr:row>9</xdr:row>
      <xdr:rowOff>44371</xdr:rowOff>
    </xdr:to>
    <xdr:sp macro="" textlink="">
      <xdr:nvSpPr>
        <xdr:cNvPr id="46" name="Rectangle: Diagonal Corners Rounded 45">
          <a:extLst>
            <a:ext uri="{FF2B5EF4-FFF2-40B4-BE49-F238E27FC236}">
              <a16:creationId xmlns:a16="http://schemas.microsoft.com/office/drawing/2014/main" id="{B4F5E38B-2FA4-4A20-BC66-C3983F60CB7A}"/>
            </a:ext>
          </a:extLst>
        </xdr:cNvPr>
        <xdr:cNvSpPr/>
      </xdr:nvSpPr>
      <xdr:spPr>
        <a:xfrm>
          <a:off x="2085372" y="770678"/>
          <a:ext cx="1772855" cy="923085"/>
        </a:xfrm>
        <a:prstGeom prst="round2DiagRect">
          <a:avLst/>
        </a:prstGeom>
        <a:solidFill>
          <a:schemeClr val="bg1">
            <a:lumMod val="95000"/>
          </a:schemeClr>
        </a:solidFill>
        <a:ln>
          <a:solidFill>
            <a:schemeClr val="tx2">
              <a:lumMod val="75000"/>
              <a:lumOff val="25000"/>
            </a:schemeClr>
          </a:solidFill>
        </a:ln>
      </xdr:spPr>
      <xdr:style>
        <a:lnRef idx="0">
          <a:schemeClr val="dk1"/>
        </a:lnRef>
        <a:fillRef idx="3">
          <a:schemeClr val="dk1"/>
        </a:fillRef>
        <a:effectRef idx="3">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oneCellAnchor>
    <xdr:from>
      <xdr:col>1</xdr:col>
      <xdr:colOff>1079656</xdr:colOff>
      <xdr:row>4</xdr:row>
      <xdr:rowOff>8611</xdr:rowOff>
    </xdr:from>
    <xdr:ext cx="1535389" cy="433452"/>
    <xdr:sp macro="" textlink="">
      <xdr:nvSpPr>
        <xdr:cNvPr id="38" name="Rectangle 37">
          <a:extLst>
            <a:ext uri="{FF2B5EF4-FFF2-40B4-BE49-F238E27FC236}">
              <a16:creationId xmlns:a16="http://schemas.microsoft.com/office/drawing/2014/main" id="{678FABE3-33DB-ED82-D8B5-B0CE999BE425}"/>
            </a:ext>
          </a:extLst>
        </xdr:cNvPr>
        <xdr:cNvSpPr/>
      </xdr:nvSpPr>
      <xdr:spPr>
        <a:xfrm>
          <a:off x="1997520" y="735975"/>
          <a:ext cx="1535389" cy="433452"/>
        </a:xfrm>
        <a:prstGeom prst="rect">
          <a:avLst/>
        </a:prstGeom>
        <a:noFill/>
      </xdr:spPr>
      <xdr:txBody>
        <a:bodyPr wrap="square" lIns="91440" tIns="45720" rIns="91440" bIns="45720">
          <a:spAutoFit/>
        </a:bodyPr>
        <a:lstStyle/>
        <a:p>
          <a:pPr algn="ctr"/>
          <a:r>
            <a:rPr lang="en-IN" sz="2000"/>
            <a:t>💚</a:t>
          </a:r>
          <a:r>
            <a:rPr lang="en-US" sz="2000" b="1" cap="none" spc="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rPr>
            <a:t>Total</a:t>
          </a:r>
          <a:r>
            <a:rPr lang="en-US" sz="2000" b="1" cap="none" spc="0" baseline="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rPr>
            <a:t> Sales</a:t>
          </a:r>
          <a:endParaRPr lang="en-US" sz="2000" b="1" cap="none" spc="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endParaRPr>
        </a:p>
      </xdr:txBody>
    </xdr:sp>
    <xdr:clientData/>
  </xdr:oneCellAnchor>
  <xdr:twoCellAnchor>
    <xdr:from>
      <xdr:col>4</xdr:col>
      <xdr:colOff>443696</xdr:colOff>
      <xdr:row>4</xdr:row>
      <xdr:rowOff>26040</xdr:rowOff>
    </xdr:from>
    <xdr:to>
      <xdr:col>7</xdr:col>
      <xdr:colOff>393538</xdr:colOff>
      <xdr:row>9</xdr:row>
      <xdr:rowOff>32796</xdr:rowOff>
    </xdr:to>
    <xdr:sp macro="" textlink="">
      <xdr:nvSpPr>
        <xdr:cNvPr id="47" name="Rectangle: Diagonal Corners Rounded 46">
          <a:extLst>
            <a:ext uri="{FF2B5EF4-FFF2-40B4-BE49-F238E27FC236}">
              <a16:creationId xmlns:a16="http://schemas.microsoft.com/office/drawing/2014/main" id="{99BC6E68-3A86-4836-866F-587C6061993F}"/>
            </a:ext>
          </a:extLst>
        </xdr:cNvPr>
        <xdr:cNvSpPr/>
      </xdr:nvSpPr>
      <xdr:spPr>
        <a:xfrm>
          <a:off x="3983620" y="759103"/>
          <a:ext cx="1772855" cy="923085"/>
        </a:xfrm>
        <a:prstGeom prst="round2DiagRect">
          <a:avLst/>
        </a:prstGeom>
        <a:solidFill>
          <a:schemeClr val="bg1">
            <a:lumMod val="95000"/>
          </a:schemeClr>
        </a:solidFill>
        <a:ln>
          <a:solidFill>
            <a:schemeClr val="tx2">
              <a:lumMod val="75000"/>
              <a:lumOff val="25000"/>
            </a:schemeClr>
          </a:solidFill>
        </a:ln>
      </xdr:spPr>
      <xdr:style>
        <a:lnRef idx="0">
          <a:schemeClr val="dk1"/>
        </a:lnRef>
        <a:fillRef idx="3">
          <a:schemeClr val="dk1"/>
        </a:fillRef>
        <a:effectRef idx="3">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oneCellAnchor>
    <xdr:from>
      <xdr:col>4</xdr:col>
      <xdr:colOff>360234</xdr:colOff>
      <xdr:row>3</xdr:row>
      <xdr:rowOff>163533</xdr:rowOff>
    </xdr:from>
    <xdr:ext cx="1605379" cy="433452"/>
    <xdr:sp macro="" textlink="">
      <xdr:nvSpPr>
        <xdr:cNvPr id="39" name="Rectangle 38">
          <a:extLst>
            <a:ext uri="{FF2B5EF4-FFF2-40B4-BE49-F238E27FC236}">
              <a16:creationId xmlns:a16="http://schemas.microsoft.com/office/drawing/2014/main" id="{3E65A50A-6CF3-411F-BFF5-AA6DFCFD7D47}"/>
            </a:ext>
          </a:extLst>
        </xdr:cNvPr>
        <xdr:cNvSpPr/>
      </xdr:nvSpPr>
      <xdr:spPr>
        <a:xfrm>
          <a:off x="3884484" y="709056"/>
          <a:ext cx="1605379" cy="433452"/>
        </a:xfrm>
        <a:prstGeom prst="rect">
          <a:avLst/>
        </a:prstGeom>
        <a:noFill/>
      </xdr:spPr>
      <xdr:txBody>
        <a:bodyPr wrap="square" lIns="91440" tIns="45720" rIns="91440" bIns="45720">
          <a:spAutoFit/>
        </a:bodyPr>
        <a:lstStyle/>
        <a:p>
          <a:pPr algn="ctr"/>
          <a:r>
            <a:rPr lang="en-IN" sz="2000"/>
            <a:t>🟣</a:t>
          </a:r>
          <a:r>
            <a:rPr lang="en-US" sz="2000" b="1" cap="none" spc="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rPr>
            <a:t>Total</a:t>
          </a:r>
          <a:r>
            <a:rPr lang="en-US" sz="2000" b="1" cap="none" spc="0" baseline="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rPr>
            <a:t> Orders</a:t>
          </a:r>
          <a:endParaRPr lang="en-US" sz="2000" b="1" cap="none" spc="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endParaRPr>
        </a:p>
      </xdr:txBody>
    </xdr:sp>
    <xdr:clientData/>
  </xdr:oneCellAnchor>
  <xdr:twoCellAnchor>
    <xdr:from>
      <xdr:col>10</xdr:col>
      <xdr:colOff>574876</xdr:colOff>
      <xdr:row>4</xdr:row>
      <xdr:rowOff>31827</xdr:rowOff>
    </xdr:from>
    <xdr:to>
      <xdr:col>13</xdr:col>
      <xdr:colOff>524718</xdr:colOff>
      <xdr:row>9</xdr:row>
      <xdr:rowOff>38583</xdr:rowOff>
    </xdr:to>
    <xdr:sp macro="" textlink="">
      <xdr:nvSpPr>
        <xdr:cNvPr id="49" name="Rectangle: Diagonal Corners Rounded 48">
          <a:extLst>
            <a:ext uri="{FF2B5EF4-FFF2-40B4-BE49-F238E27FC236}">
              <a16:creationId xmlns:a16="http://schemas.microsoft.com/office/drawing/2014/main" id="{A0BF0599-18FF-47D6-9A1D-49CB2AD0B957}"/>
            </a:ext>
          </a:extLst>
        </xdr:cNvPr>
        <xdr:cNvSpPr/>
      </xdr:nvSpPr>
      <xdr:spPr>
        <a:xfrm>
          <a:off x="7760825" y="764890"/>
          <a:ext cx="1772855" cy="923085"/>
        </a:xfrm>
        <a:prstGeom prst="round2DiagRect">
          <a:avLst/>
        </a:prstGeom>
        <a:solidFill>
          <a:schemeClr val="bg1">
            <a:lumMod val="95000"/>
          </a:schemeClr>
        </a:solidFill>
        <a:ln>
          <a:solidFill>
            <a:schemeClr val="tx2">
              <a:lumMod val="75000"/>
              <a:lumOff val="25000"/>
            </a:schemeClr>
          </a:solidFill>
        </a:ln>
      </xdr:spPr>
      <xdr:style>
        <a:lnRef idx="0">
          <a:schemeClr val="dk1"/>
        </a:lnRef>
        <a:fillRef idx="3">
          <a:schemeClr val="dk1"/>
        </a:fillRef>
        <a:effectRef idx="3">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twoCellAnchor>
    <xdr:from>
      <xdr:col>7</xdr:col>
      <xdr:colOff>518931</xdr:colOff>
      <xdr:row>4</xdr:row>
      <xdr:rowOff>33756</xdr:rowOff>
    </xdr:from>
    <xdr:to>
      <xdr:col>10</xdr:col>
      <xdr:colOff>468774</xdr:colOff>
      <xdr:row>9</xdr:row>
      <xdr:rowOff>40512</xdr:rowOff>
    </xdr:to>
    <xdr:sp macro="" textlink="">
      <xdr:nvSpPr>
        <xdr:cNvPr id="48" name="Rectangle: Diagonal Corners Rounded 47">
          <a:extLst>
            <a:ext uri="{FF2B5EF4-FFF2-40B4-BE49-F238E27FC236}">
              <a16:creationId xmlns:a16="http://schemas.microsoft.com/office/drawing/2014/main" id="{E234A836-3AF1-4427-AC2C-DEB73854389A}"/>
            </a:ext>
          </a:extLst>
        </xdr:cNvPr>
        <xdr:cNvSpPr/>
      </xdr:nvSpPr>
      <xdr:spPr>
        <a:xfrm>
          <a:off x="5881868" y="766819"/>
          <a:ext cx="1772855" cy="923085"/>
        </a:xfrm>
        <a:prstGeom prst="round2DiagRect">
          <a:avLst/>
        </a:prstGeom>
        <a:solidFill>
          <a:schemeClr val="bg1">
            <a:lumMod val="95000"/>
          </a:schemeClr>
        </a:solidFill>
        <a:ln>
          <a:solidFill>
            <a:schemeClr val="tx2">
              <a:lumMod val="75000"/>
              <a:lumOff val="25000"/>
            </a:schemeClr>
          </a:solidFill>
        </a:ln>
      </xdr:spPr>
      <xdr:style>
        <a:lnRef idx="0">
          <a:schemeClr val="dk1"/>
        </a:lnRef>
        <a:fillRef idx="3">
          <a:schemeClr val="dk1"/>
        </a:fillRef>
        <a:effectRef idx="3">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oneCellAnchor>
    <xdr:from>
      <xdr:col>10</xdr:col>
      <xdr:colOff>437273</xdr:colOff>
      <xdr:row>3</xdr:row>
      <xdr:rowOff>157153</xdr:rowOff>
    </xdr:from>
    <xdr:ext cx="1502364" cy="433452"/>
    <xdr:sp macro="" textlink="">
      <xdr:nvSpPr>
        <xdr:cNvPr id="41" name="Rectangle 40">
          <a:extLst>
            <a:ext uri="{FF2B5EF4-FFF2-40B4-BE49-F238E27FC236}">
              <a16:creationId xmlns:a16="http://schemas.microsoft.com/office/drawing/2014/main" id="{960EF922-DA4A-4860-8401-25CDCEC688B6}"/>
            </a:ext>
          </a:extLst>
        </xdr:cNvPr>
        <xdr:cNvSpPr/>
      </xdr:nvSpPr>
      <xdr:spPr>
        <a:xfrm>
          <a:off x="7598341" y="702676"/>
          <a:ext cx="1502364" cy="433452"/>
        </a:xfrm>
        <a:prstGeom prst="rect">
          <a:avLst/>
        </a:prstGeom>
        <a:noFill/>
      </xdr:spPr>
      <xdr:txBody>
        <a:bodyPr wrap="square" lIns="91440" tIns="45720" rIns="91440" bIns="45720">
          <a:spAutoFit/>
        </a:bodyPr>
        <a:lstStyle/>
        <a:p>
          <a:pPr algn="ctr"/>
          <a:r>
            <a:rPr lang="en-IN" sz="2000"/>
            <a:t>🟠</a:t>
          </a:r>
          <a:r>
            <a:rPr lang="en-US" sz="2000" b="1" cap="none" spc="0" baseline="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rPr>
            <a:t>Max Sales</a:t>
          </a:r>
          <a:endParaRPr lang="en-US" sz="2000" b="1" cap="none" spc="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endParaRPr>
        </a:p>
      </xdr:txBody>
    </xdr:sp>
    <xdr:clientData/>
  </xdr:oneCellAnchor>
  <xdr:twoCellAnchor>
    <xdr:from>
      <xdr:col>14</xdr:col>
      <xdr:colOff>23149</xdr:colOff>
      <xdr:row>4</xdr:row>
      <xdr:rowOff>29900</xdr:rowOff>
    </xdr:from>
    <xdr:to>
      <xdr:col>16</xdr:col>
      <xdr:colOff>580662</xdr:colOff>
      <xdr:row>9</xdr:row>
      <xdr:rowOff>36656</xdr:rowOff>
    </xdr:to>
    <xdr:sp macro="" textlink="">
      <xdr:nvSpPr>
        <xdr:cNvPr id="50" name="Rectangle: Diagonal Corners Rounded 49">
          <a:extLst>
            <a:ext uri="{FF2B5EF4-FFF2-40B4-BE49-F238E27FC236}">
              <a16:creationId xmlns:a16="http://schemas.microsoft.com/office/drawing/2014/main" id="{8B09DE5B-1C40-4A4A-945A-87AD2B6BAD9F}"/>
            </a:ext>
          </a:extLst>
        </xdr:cNvPr>
        <xdr:cNvSpPr/>
      </xdr:nvSpPr>
      <xdr:spPr>
        <a:xfrm>
          <a:off x="9639782" y="762963"/>
          <a:ext cx="1772855" cy="923085"/>
        </a:xfrm>
        <a:prstGeom prst="round2DiagRect">
          <a:avLst/>
        </a:prstGeom>
        <a:solidFill>
          <a:schemeClr val="bg1">
            <a:lumMod val="95000"/>
          </a:schemeClr>
        </a:solidFill>
        <a:ln>
          <a:solidFill>
            <a:schemeClr val="tx2">
              <a:lumMod val="75000"/>
              <a:lumOff val="25000"/>
            </a:schemeClr>
          </a:solidFill>
        </a:ln>
      </xdr:spPr>
      <xdr:style>
        <a:lnRef idx="0">
          <a:schemeClr val="dk1"/>
        </a:lnRef>
        <a:fillRef idx="3">
          <a:schemeClr val="dk1"/>
        </a:fillRef>
        <a:effectRef idx="3">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oneCellAnchor>
    <xdr:from>
      <xdr:col>7</xdr:col>
      <xdr:colOff>457277</xdr:colOff>
      <xdr:row>3</xdr:row>
      <xdr:rowOff>149437</xdr:rowOff>
    </xdr:from>
    <xdr:ext cx="1370317" cy="433452"/>
    <xdr:sp macro="" textlink="">
      <xdr:nvSpPr>
        <xdr:cNvPr id="40" name="Rectangle 39">
          <a:extLst>
            <a:ext uri="{FF2B5EF4-FFF2-40B4-BE49-F238E27FC236}">
              <a16:creationId xmlns:a16="http://schemas.microsoft.com/office/drawing/2014/main" id="{B323CAFF-D40B-44F4-9357-12E4EF4DCB29}"/>
            </a:ext>
          </a:extLst>
        </xdr:cNvPr>
        <xdr:cNvSpPr/>
      </xdr:nvSpPr>
      <xdr:spPr>
        <a:xfrm>
          <a:off x="5799936" y="694960"/>
          <a:ext cx="1370317" cy="433452"/>
        </a:xfrm>
        <a:prstGeom prst="rect">
          <a:avLst/>
        </a:prstGeom>
        <a:noFill/>
      </xdr:spPr>
      <xdr:txBody>
        <a:bodyPr wrap="square" lIns="91440" tIns="45720" rIns="91440" bIns="45720">
          <a:spAutoFit/>
        </a:bodyPr>
        <a:lstStyle/>
        <a:p>
          <a:pPr algn="ctr"/>
          <a:r>
            <a:rPr lang="en-IN" sz="2000"/>
            <a:t>🔵</a:t>
          </a:r>
          <a:r>
            <a:rPr lang="en-US" sz="2000" b="1" cap="none" spc="0" baseline="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rPr>
            <a:t>Avg Sales</a:t>
          </a:r>
          <a:endParaRPr lang="en-US" sz="2000" b="1" cap="none" spc="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endParaRPr>
        </a:p>
      </xdr:txBody>
    </xdr:sp>
    <xdr:clientData/>
  </xdr:oneCellAnchor>
  <xdr:oneCellAnchor>
    <xdr:from>
      <xdr:col>13</xdr:col>
      <xdr:colOff>454630</xdr:colOff>
      <xdr:row>3</xdr:row>
      <xdr:rowOff>164870</xdr:rowOff>
    </xdr:from>
    <xdr:ext cx="1562938" cy="433452"/>
    <xdr:sp macro="" textlink="">
      <xdr:nvSpPr>
        <xdr:cNvPr id="42" name="Rectangle 41">
          <a:extLst>
            <a:ext uri="{FF2B5EF4-FFF2-40B4-BE49-F238E27FC236}">
              <a16:creationId xmlns:a16="http://schemas.microsoft.com/office/drawing/2014/main" id="{EE04BC4D-C4E8-4597-93CF-79D8AED5829E}"/>
            </a:ext>
          </a:extLst>
        </xdr:cNvPr>
        <xdr:cNvSpPr/>
      </xdr:nvSpPr>
      <xdr:spPr>
        <a:xfrm>
          <a:off x="9434107" y="710393"/>
          <a:ext cx="1562938" cy="433452"/>
        </a:xfrm>
        <a:prstGeom prst="rect">
          <a:avLst/>
        </a:prstGeom>
        <a:noFill/>
      </xdr:spPr>
      <xdr:txBody>
        <a:bodyPr wrap="square" lIns="91440" tIns="45720" rIns="91440" bIns="45720">
          <a:spAutoFit/>
        </a:bodyPr>
        <a:lstStyle/>
        <a:p>
          <a:pPr algn="ctr"/>
          <a:r>
            <a:rPr lang="en-IN" sz="2000"/>
            <a:t>🔴</a:t>
          </a:r>
          <a:r>
            <a:rPr lang="en-US" sz="2000" b="1" cap="none" spc="0" baseline="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rPr>
            <a:t>Min Sales</a:t>
          </a:r>
          <a:endParaRPr lang="en-US" sz="2000" b="1" cap="none" spc="0">
            <a:ln w="0"/>
            <a:solidFill>
              <a:schemeClr val="accent1"/>
            </a:solidFill>
            <a:effectLst>
              <a:outerShdw blurRad="38100" dist="25400" dir="5400000" algn="ctr" rotWithShape="0">
                <a:srgbClr val="6E747A">
                  <a:alpha val="43000"/>
                </a:srgbClr>
              </a:outerShdw>
            </a:effectLst>
            <a:latin typeface="Bahnschrift Condensed" panose="020B0502040204020203" pitchFamily="34" charset="0"/>
          </a:endParaRPr>
        </a:p>
      </xdr:txBody>
    </xdr:sp>
    <xdr:clientData/>
  </xdr:oneCellAnchor>
  <xdr:twoCellAnchor>
    <xdr:from>
      <xdr:col>1</xdr:col>
      <xdr:colOff>1282861</xdr:colOff>
      <xdr:row>6</xdr:row>
      <xdr:rowOff>96461</xdr:rowOff>
    </xdr:from>
    <xdr:to>
      <xdr:col>4</xdr:col>
      <xdr:colOff>279722</xdr:colOff>
      <xdr:row>8</xdr:row>
      <xdr:rowOff>173625</xdr:rowOff>
    </xdr:to>
    <xdr:sp macro="" textlink="$U$4">
      <xdr:nvSpPr>
        <xdr:cNvPr id="59" name="TextBox 58">
          <a:extLst>
            <a:ext uri="{FF2B5EF4-FFF2-40B4-BE49-F238E27FC236}">
              <a16:creationId xmlns:a16="http://schemas.microsoft.com/office/drawing/2014/main" id="{4F52023B-C3EF-93E2-EC79-605069955CD7}"/>
            </a:ext>
          </a:extLst>
        </xdr:cNvPr>
        <xdr:cNvSpPr txBox="1"/>
      </xdr:nvSpPr>
      <xdr:spPr>
        <a:xfrm>
          <a:off x="2208836" y="1196056"/>
          <a:ext cx="1610810" cy="4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E6A04E8-0D3A-471C-A7D6-25553A8FC296}" type="TxLink">
            <a:rPr lang="en-US" sz="2800" b="1" i="0" u="none" strike="noStrike">
              <a:solidFill>
                <a:srgbClr val="00B050"/>
              </a:solidFill>
              <a:latin typeface="Bahnschrift Condensed" panose="020B0502040204020203" pitchFamily="34" charset="0"/>
              <a:ea typeface="+mn-ea"/>
              <a:cs typeface="+mn-cs"/>
            </a:rPr>
            <a:pPr marL="0" indent="0" algn="r"/>
            <a:t>₹ 764,400</a:t>
          </a:fld>
          <a:endParaRPr lang="en-IN" sz="2800" b="1" i="0" u="none" strike="noStrike">
            <a:solidFill>
              <a:srgbClr val="00B050"/>
            </a:solidFill>
            <a:latin typeface="Bahnschrift Condensed" panose="020B0502040204020203" pitchFamily="34" charset="0"/>
            <a:ea typeface="+mn-ea"/>
            <a:cs typeface="+mn-cs"/>
          </a:endParaRPr>
        </a:p>
      </xdr:txBody>
    </xdr:sp>
    <xdr:clientData/>
  </xdr:twoCellAnchor>
  <xdr:twoCellAnchor>
    <xdr:from>
      <xdr:col>4</xdr:col>
      <xdr:colOff>576803</xdr:colOff>
      <xdr:row>6</xdr:row>
      <xdr:rowOff>75241</xdr:rowOff>
    </xdr:from>
    <xdr:to>
      <xdr:col>7</xdr:col>
      <xdr:colOff>364600</xdr:colOff>
      <xdr:row>8</xdr:row>
      <xdr:rowOff>152405</xdr:rowOff>
    </xdr:to>
    <xdr:sp macro="" textlink="'Pivot Table'!$A$42">
      <xdr:nvSpPr>
        <xdr:cNvPr id="61" name="TextBox 60">
          <a:extLst>
            <a:ext uri="{FF2B5EF4-FFF2-40B4-BE49-F238E27FC236}">
              <a16:creationId xmlns:a16="http://schemas.microsoft.com/office/drawing/2014/main" id="{6A398F5C-05F1-4D27-BC96-82374ED221CC}"/>
            </a:ext>
          </a:extLst>
        </xdr:cNvPr>
        <xdr:cNvSpPr txBox="1"/>
      </xdr:nvSpPr>
      <xdr:spPr>
        <a:xfrm>
          <a:off x="4116727" y="1174836"/>
          <a:ext cx="1610810" cy="4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C442D28-85CF-447E-8391-D6021B29BD06}" type="TxLink">
            <a:rPr lang="en-US" sz="2800" b="1" i="0" u="none" strike="noStrike">
              <a:solidFill>
                <a:schemeClr val="accent5"/>
              </a:solidFill>
              <a:latin typeface="Bahnschrift Condensed" panose="020B0502040204020203" pitchFamily="34" charset="0"/>
              <a:ea typeface="+mn-ea"/>
              <a:cs typeface="+mn-cs"/>
            </a:rPr>
            <a:pPr marL="0" indent="0" algn="r"/>
            <a:t>29</a:t>
          </a:fld>
          <a:endParaRPr lang="en-IN" sz="2800" b="1" i="0" u="none" strike="noStrike">
            <a:solidFill>
              <a:schemeClr val="accent5"/>
            </a:solidFill>
            <a:latin typeface="Bahnschrift Condensed" panose="020B0502040204020203" pitchFamily="34" charset="0"/>
            <a:ea typeface="+mn-ea"/>
            <a:cs typeface="+mn-cs"/>
          </a:endParaRPr>
        </a:p>
      </xdr:txBody>
    </xdr:sp>
    <xdr:clientData/>
  </xdr:twoCellAnchor>
  <xdr:twoCellAnchor>
    <xdr:from>
      <xdr:col>8</xdr:col>
      <xdr:colOff>63658</xdr:colOff>
      <xdr:row>6</xdr:row>
      <xdr:rowOff>92603</xdr:rowOff>
    </xdr:from>
    <xdr:to>
      <xdr:col>10</xdr:col>
      <xdr:colOff>459127</xdr:colOff>
      <xdr:row>8</xdr:row>
      <xdr:rowOff>169767</xdr:rowOff>
    </xdr:to>
    <xdr:sp macro="" textlink="$U$7">
      <xdr:nvSpPr>
        <xdr:cNvPr id="62" name="TextBox 61">
          <a:extLst>
            <a:ext uri="{FF2B5EF4-FFF2-40B4-BE49-F238E27FC236}">
              <a16:creationId xmlns:a16="http://schemas.microsoft.com/office/drawing/2014/main" id="{6C8DC032-6CB9-49F8-863D-A667C12CCF6A}"/>
            </a:ext>
          </a:extLst>
        </xdr:cNvPr>
        <xdr:cNvSpPr txBox="1"/>
      </xdr:nvSpPr>
      <xdr:spPr>
        <a:xfrm>
          <a:off x="6034266" y="1192198"/>
          <a:ext cx="1610810" cy="4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199AC5F-093A-45D3-B6A4-4EF0976A0007}" type="TxLink">
            <a:rPr lang="en-US" sz="2800" b="1" i="0" u="none" strike="noStrike">
              <a:solidFill>
                <a:schemeClr val="tx2">
                  <a:lumMod val="75000"/>
                  <a:lumOff val="25000"/>
                </a:schemeClr>
              </a:solidFill>
              <a:latin typeface="Bahnschrift Condensed" panose="020B0502040204020203" pitchFamily="34" charset="0"/>
              <a:ea typeface="+mn-ea"/>
              <a:cs typeface="+mn-cs"/>
            </a:rPr>
            <a:pPr marL="0" indent="0" algn="r"/>
            <a:t>₹ 26,359</a:t>
          </a:fld>
          <a:endParaRPr lang="en-IN" sz="2800" b="1" i="0" u="none" strike="noStrike">
            <a:solidFill>
              <a:schemeClr val="tx2">
                <a:lumMod val="75000"/>
                <a:lumOff val="25000"/>
              </a:schemeClr>
            </a:solidFill>
            <a:latin typeface="Bahnschrift Condensed" panose="020B0502040204020203" pitchFamily="34" charset="0"/>
            <a:ea typeface="+mn-ea"/>
            <a:cs typeface="+mn-cs"/>
          </a:endParaRPr>
        </a:p>
      </xdr:txBody>
    </xdr:sp>
    <xdr:clientData/>
  </xdr:twoCellAnchor>
  <xdr:twoCellAnchor>
    <xdr:from>
      <xdr:col>11</xdr:col>
      <xdr:colOff>129248</xdr:colOff>
      <xdr:row>6</xdr:row>
      <xdr:rowOff>90674</xdr:rowOff>
    </xdr:from>
    <xdr:to>
      <xdr:col>13</xdr:col>
      <xdr:colOff>524716</xdr:colOff>
      <xdr:row>8</xdr:row>
      <xdr:rowOff>167838</xdr:rowOff>
    </xdr:to>
    <xdr:sp macro="" textlink="$U$9">
      <xdr:nvSpPr>
        <xdr:cNvPr id="63" name="TextBox 62">
          <a:extLst>
            <a:ext uri="{FF2B5EF4-FFF2-40B4-BE49-F238E27FC236}">
              <a16:creationId xmlns:a16="http://schemas.microsoft.com/office/drawing/2014/main" id="{CBF96F16-652A-4C2F-A942-39503D465BB0}"/>
            </a:ext>
          </a:extLst>
        </xdr:cNvPr>
        <xdr:cNvSpPr txBox="1"/>
      </xdr:nvSpPr>
      <xdr:spPr>
        <a:xfrm>
          <a:off x="7922868" y="1190269"/>
          <a:ext cx="1610810" cy="4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04116E6-E82B-4333-8827-4AAE0806173F}" type="TxLink">
            <a:rPr lang="en-US" sz="2800" b="1" i="0" u="none" strike="noStrike">
              <a:solidFill>
                <a:srgbClr val="BD8521"/>
              </a:solidFill>
              <a:latin typeface="Bahnschrift Condensed" panose="020B0502040204020203" pitchFamily="34" charset="0"/>
              <a:ea typeface="+mn-ea"/>
              <a:cs typeface="+mn-cs"/>
            </a:rPr>
            <a:pPr marL="0" indent="0" algn="r"/>
            <a:t>₹ 87,700</a:t>
          </a:fld>
          <a:endParaRPr lang="en-IN" sz="2800" b="1" i="0" u="none" strike="noStrike">
            <a:solidFill>
              <a:srgbClr val="BD8521"/>
            </a:solidFill>
            <a:latin typeface="Bahnschrift Condensed" panose="020B0502040204020203" pitchFamily="34" charset="0"/>
            <a:ea typeface="+mn-ea"/>
            <a:cs typeface="+mn-cs"/>
          </a:endParaRPr>
        </a:p>
      </xdr:txBody>
    </xdr:sp>
    <xdr:clientData/>
  </xdr:twoCellAnchor>
  <xdr:twoCellAnchor>
    <xdr:from>
      <xdr:col>14</xdr:col>
      <xdr:colOff>194837</xdr:colOff>
      <xdr:row>6</xdr:row>
      <xdr:rowOff>69453</xdr:rowOff>
    </xdr:from>
    <xdr:to>
      <xdr:col>16</xdr:col>
      <xdr:colOff>590305</xdr:colOff>
      <xdr:row>8</xdr:row>
      <xdr:rowOff>146617</xdr:rowOff>
    </xdr:to>
    <xdr:sp macro="" textlink="$U$11">
      <xdr:nvSpPr>
        <xdr:cNvPr id="55296" name="TextBox 55295">
          <a:extLst>
            <a:ext uri="{FF2B5EF4-FFF2-40B4-BE49-F238E27FC236}">
              <a16:creationId xmlns:a16="http://schemas.microsoft.com/office/drawing/2014/main" id="{45B02EB7-AB2E-46B8-AE88-C46666CC2B97}"/>
            </a:ext>
          </a:extLst>
        </xdr:cNvPr>
        <xdr:cNvSpPr txBox="1"/>
      </xdr:nvSpPr>
      <xdr:spPr>
        <a:xfrm>
          <a:off x="9811470" y="1169048"/>
          <a:ext cx="1610810" cy="4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31B077F-D0DA-4465-8906-D2B37CF90770}" type="TxLink">
            <a:rPr lang="en-US" sz="2800" b="1" i="0" u="none" strike="noStrike">
              <a:solidFill>
                <a:srgbClr val="C41604"/>
              </a:solidFill>
              <a:latin typeface="Bahnschrift Condensed" panose="020B0502040204020203" pitchFamily="34" charset="0"/>
              <a:ea typeface="+mn-ea"/>
              <a:cs typeface="+mn-cs"/>
            </a:rPr>
            <a:pPr marL="0" indent="0" algn="r"/>
            <a:t>₹ 5,800</a:t>
          </a:fld>
          <a:endParaRPr lang="en-IN" sz="2800" b="1" i="0" u="none" strike="noStrike">
            <a:solidFill>
              <a:srgbClr val="C41604"/>
            </a:solidFill>
            <a:latin typeface="Bahnschrift Condensed" panose="020B0502040204020203" pitchFamily="34" charset="0"/>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YT%20Azeem%20DataAnalyst\Episode%2010.xlsx" TargetMode="External"/><Relationship Id="rId1" Type="http://schemas.openxmlformats.org/officeDocument/2006/relationships/externalLinkPath" Target="file:///E:\YT%20Azeem%20DataAnalyst\Excel%20Beginner%20to%20Advance%20(All%20Data%20Sheets)\Episode%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Lookup"/>
      <sheetName val="Sheet28"/>
      <sheetName val="Xlookup"/>
      <sheetName val="Sheet29"/>
    </sheetNames>
    <sheetDataSet>
      <sheetData sheetId="0" refreshError="1"/>
      <sheetData sheetId="1" refreshError="1"/>
      <sheetData sheetId="2" refreshError="1"/>
      <sheetData sheetId="3">
        <row r="3">
          <cell r="C3" t="str">
            <v>Price ($)</v>
          </cell>
        </row>
        <row r="4">
          <cell r="C4">
            <v>6.99</v>
          </cell>
        </row>
        <row r="5">
          <cell r="C5">
            <v>3.25</v>
          </cell>
        </row>
        <row r="6">
          <cell r="C6">
            <v>4.0999999999999996</v>
          </cell>
        </row>
        <row r="7">
          <cell r="C7">
            <v>5.75</v>
          </cell>
        </row>
        <row r="8">
          <cell r="C8">
            <v>3.85</v>
          </cell>
        </row>
        <row r="9">
          <cell r="C9">
            <v>2.95</v>
          </cell>
        </row>
        <row r="10">
          <cell r="C10">
            <v>1.2</v>
          </cell>
        </row>
        <row r="11">
          <cell r="C11">
            <v>2.1</v>
          </cell>
        </row>
        <row r="12">
          <cell r="C12">
            <v>4.3499999999999996</v>
          </cell>
        </row>
        <row r="13">
          <cell r="C13">
            <v>1.99</v>
          </cell>
        </row>
        <row r="14">
          <cell r="C14">
            <v>3.5</v>
          </cell>
        </row>
        <row r="15">
          <cell r="C15">
            <v>1.75</v>
          </cell>
        </row>
        <row r="16">
          <cell r="C16">
            <v>8.6</v>
          </cell>
        </row>
        <row r="17">
          <cell r="C17">
            <v>1.4</v>
          </cell>
        </row>
        <row r="18">
          <cell r="C18">
            <v>9.99</v>
          </cell>
        </row>
        <row r="19">
          <cell r="C19">
            <v>6.25</v>
          </cell>
        </row>
        <row r="20">
          <cell r="C20">
            <v>12.99</v>
          </cell>
        </row>
        <row r="21">
          <cell r="C21">
            <v>13.75</v>
          </cell>
        </row>
        <row r="22">
          <cell r="C22">
            <v>2.5</v>
          </cell>
        </row>
        <row r="23">
          <cell r="C23">
            <v>5.6</v>
          </cell>
        </row>
        <row r="24">
          <cell r="C24">
            <v>3.1</v>
          </cell>
        </row>
        <row r="25">
          <cell r="C25">
            <v>2.35</v>
          </cell>
        </row>
        <row r="26">
          <cell r="C26">
            <v>19.75</v>
          </cell>
        </row>
        <row r="27">
          <cell r="C27">
            <v>24.5</v>
          </cell>
        </row>
        <row r="28">
          <cell r="C28">
            <v>14.9</v>
          </cell>
        </row>
        <row r="29">
          <cell r="C29">
            <v>18.25</v>
          </cell>
        </row>
        <row r="30">
          <cell r="C30">
            <v>9.1999999999999993</v>
          </cell>
        </row>
        <row r="31">
          <cell r="C31">
            <v>39.99</v>
          </cell>
        </row>
        <row r="32">
          <cell r="C32">
            <v>59.5</v>
          </cell>
        </row>
        <row r="33">
          <cell r="C33">
            <v>22.99</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eem Khan" refreshedDate="45945.437259259263" createdVersion="8" refreshedVersion="8" minRefreshableVersion="3" recordCount="100" xr:uid="{3648368D-8197-4C36-92F4-4FC2E488D447}">
  <cacheSource type="worksheet">
    <worksheetSource ref="A1:G101" sheet="Long Data"/>
  </cacheSource>
  <cacheFields count="7">
    <cacheField name="Customer ID" numFmtId="0">
      <sharedItems/>
    </cacheField>
    <cacheField name="Salesperson" numFmtId="0">
      <sharedItems/>
    </cacheField>
    <cacheField name="Region" numFmtId="0">
      <sharedItems count="4">
        <s v="North"/>
        <s v="South"/>
        <s v="East"/>
        <s v="West"/>
      </sharedItems>
    </cacheField>
    <cacheField name="Product" numFmtId="0">
      <sharedItems count="5">
        <s v="Laptop"/>
        <s v="Mouse"/>
        <s v="Keyboard"/>
        <s v="Monitor"/>
        <s v="Printer"/>
      </sharedItems>
    </cacheField>
    <cacheField name="Month" numFmtId="14">
      <sharedItems count="12">
        <s v="Jan"/>
        <s v="Feb"/>
        <s v="Mar"/>
        <s v="Apr"/>
        <s v="May"/>
        <s v="Jun"/>
        <s v="Jul"/>
        <s v="Aug"/>
        <s v="Sep"/>
        <s v="Oct"/>
        <s v="Nov"/>
        <s v="Dec"/>
      </sharedItems>
    </cacheField>
    <cacheField name="Year" numFmtId="0">
      <sharedItems containsSemiMixedTypes="0" containsString="0" containsNumber="1" containsInteger="1" minValue="2023" maxValue="2024" count="2">
        <n v="2023"/>
        <n v="2024"/>
      </sharedItems>
    </cacheField>
    <cacheField name="Sales Amount" numFmtId="3">
      <sharedItems containsSemiMixedTypes="0" containsString="0" containsNumber="1" containsInteger="1" minValue="5700" maxValue="88700"/>
    </cacheField>
  </cacheFields>
  <extLst>
    <ext xmlns:x14="http://schemas.microsoft.com/office/spreadsheetml/2009/9/main" uri="{725AE2AE-9491-48be-B2B4-4EB974FC3084}">
      <x14:pivotCacheDefinition pivotCacheId="1950117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s v="Rajesh Sharma"/>
    <x v="0"/>
    <x v="0"/>
    <x v="0"/>
    <x v="0"/>
    <n v="85400"/>
  </r>
  <r>
    <s v="C002"/>
    <s v="Priya Mehta"/>
    <x v="1"/>
    <x v="1"/>
    <x v="0"/>
    <x v="0"/>
    <n v="5900"/>
  </r>
  <r>
    <s v="C003"/>
    <s v="Rahul Patel"/>
    <x v="2"/>
    <x v="2"/>
    <x v="0"/>
    <x v="0"/>
    <n v="7400"/>
  </r>
  <r>
    <s v="C004"/>
    <s v="Sneha Rao"/>
    <x v="3"/>
    <x v="3"/>
    <x v="0"/>
    <x v="0"/>
    <n v="14600"/>
  </r>
  <r>
    <s v="C005"/>
    <s v="Arif Khan"/>
    <x v="0"/>
    <x v="4"/>
    <x v="0"/>
    <x v="0"/>
    <n v="19200"/>
  </r>
  <r>
    <s v="C006"/>
    <s v="Karan Singh"/>
    <x v="2"/>
    <x v="0"/>
    <x v="1"/>
    <x v="0"/>
    <n v="78300"/>
  </r>
  <r>
    <s v="C007"/>
    <s v="Neha Gupta"/>
    <x v="1"/>
    <x v="2"/>
    <x v="1"/>
    <x v="0"/>
    <n v="8500"/>
  </r>
  <r>
    <s v="C008"/>
    <s v="Amit Desai"/>
    <x v="3"/>
    <x v="1"/>
    <x v="1"/>
    <x v="0"/>
    <n v="6400"/>
  </r>
  <r>
    <s v="C009"/>
    <s v="Riya Nair"/>
    <x v="0"/>
    <x v="3"/>
    <x v="1"/>
    <x v="0"/>
    <n v="16800"/>
  </r>
  <r>
    <s v="C010"/>
    <s v="Deepak Joshi"/>
    <x v="2"/>
    <x v="4"/>
    <x v="1"/>
    <x v="0"/>
    <n v="21000"/>
  </r>
  <r>
    <s v="C011"/>
    <s v="Aditi Shah"/>
    <x v="3"/>
    <x v="0"/>
    <x v="2"/>
    <x v="0"/>
    <n v="82900"/>
  </r>
  <r>
    <s v="C012"/>
    <s v="Pooja Bansal"/>
    <x v="1"/>
    <x v="2"/>
    <x v="2"/>
    <x v="0"/>
    <n v="7200"/>
  </r>
  <r>
    <s v="C013"/>
    <s v="Nikhil Kumar"/>
    <x v="0"/>
    <x v="1"/>
    <x v="2"/>
    <x v="0"/>
    <n v="6100"/>
  </r>
  <r>
    <s v="C014"/>
    <s v="Meena Iyer"/>
    <x v="2"/>
    <x v="3"/>
    <x v="2"/>
    <x v="0"/>
    <n v="17600"/>
  </r>
  <r>
    <s v="C015"/>
    <s v="Sanjay Verma"/>
    <x v="3"/>
    <x v="4"/>
    <x v="2"/>
    <x v="0"/>
    <n v="20300"/>
  </r>
  <r>
    <s v="C016"/>
    <s v="Rajesh Sharma"/>
    <x v="0"/>
    <x v="0"/>
    <x v="3"/>
    <x v="0"/>
    <n v="88700"/>
  </r>
  <r>
    <s v="C017"/>
    <s v="Priya Mehta"/>
    <x v="1"/>
    <x v="2"/>
    <x v="3"/>
    <x v="0"/>
    <n v="9100"/>
  </r>
  <r>
    <s v="C018"/>
    <s v="Rahul Patel"/>
    <x v="2"/>
    <x v="1"/>
    <x v="3"/>
    <x v="0"/>
    <n v="5800"/>
  </r>
  <r>
    <s v="C019"/>
    <s v="Sneha Rao"/>
    <x v="3"/>
    <x v="3"/>
    <x v="3"/>
    <x v="0"/>
    <n v="15500"/>
  </r>
  <r>
    <s v="C020"/>
    <s v="Arif Khan"/>
    <x v="0"/>
    <x v="4"/>
    <x v="3"/>
    <x v="0"/>
    <n v="19900"/>
  </r>
  <r>
    <s v="C021"/>
    <s v="Karan Singh"/>
    <x v="2"/>
    <x v="0"/>
    <x v="4"/>
    <x v="0"/>
    <n v="84600"/>
  </r>
  <r>
    <s v="C022"/>
    <s v="Neha Gupta"/>
    <x v="1"/>
    <x v="2"/>
    <x v="4"/>
    <x v="0"/>
    <n v="8200"/>
  </r>
  <r>
    <s v="C023"/>
    <s v="Amit Desai"/>
    <x v="3"/>
    <x v="1"/>
    <x v="4"/>
    <x v="0"/>
    <n v="6700"/>
  </r>
  <r>
    <s v="C024"/>
    <s v="Riya Nair"/>
    <x v="0"/>
    <x v="3"/>
    <x v="4"/>
    <x v="0"/>
    <n v="18400"/>
  </r>
  <r>
    <s v="C025"/>
    <s v="Deepak Joshi"/>
    <x v="2"/>
    <x v="4"/>
    <x v="4"/>
    <x v="0"/>
    <n v="20100"/>
  </r>
  <r>
    <s v="C026"/>
    <s v="Aditi Shah"/>
    <x v="0"/>
    <x v="0"/>
    <x v="5"/>
    <x v="0"/>
    <n v="79800"/>
  </r>
  <r>
    <s v="C027"/>
    <s v="Pooja Bansal"/>
    <x v="1"/>
    <x v="2"/>
    <x v="5"/>
    <x v="0"/>
    <n v="8600"/>
  </r>
  <r>
    <s v="C028"/>
    <s v="Nikhil Kumar"/>
    <x v="3"/>
    <x v="1"/>
    <x v="5"/>
    <x v="0"/>
    <n v="6000"/>
  </r>
  <r>
    <s v="C029"/>
    <s v="Meena Iyer"/>
    <x v="2"/>
    <x v="3"/>
    <x v="5"/>
    <x v="0"/>
    <n v="17200"/>
  </r>
  <r>
    <s v="C030"/>
    <s v="Sanjay Verma"/>
    <x v="0"/>
    <x v="4"/>
    <x v="5"/>
    <x v="0"/>
    <n v="18900"/>
  </r>
  <r>
    <s v="C031"/>
    <s v="Rajesh Sharma"/>
    <x v="1"/>
    <x v="0"/>
    <x v="6"/>
    <x v="0"/>
    <n v="86400"/>
  </r>
  <r>
    <s v="C032"/>
    <s v="Priya Mehta"/>
    <x v="2"/>
    <x v="2"/>
    <x v="6"/>
    <x v="0"/>
    <n v="8100"/>
  </r>
  <r>
    <s v="C033"/>
    <s v="Rahul Patel"/>
    <x v="3"/>
    <x v="1"/>
    <x v="6"/>
    <x v="0"/>
    <n v="5900"/>
  </r>
  <r>
    <s v="C034"/>
    <s v="Sneha Rao"/>
    <x v="0"/>
    <x v="3"/>
    <x v="6"/>
    <x v="0"/>
    <n v="16700"/>
  </r>
  <r>
    <s v="C035"/>
    <s v="Arif Khan"/>
    <x v="2"/>
    <x v="4"/>
    <x v="6"/>
    <x v="0"/>
    <n v="20500"/>
  </r>
  <r>
    <s v="C036"/>
    <s v="Karan Singh"/>
    <x v="3"/>
    <x v="0"/>
    <x v="7"/>
    <x v="0"/>
    <n v="80200"/>
  </r>
  <r>
    <s v="C037"/>
    <s v="Neha Gupta"/>
    <x v="1"/>
    <x v="2"/>
    <x v="7"/>
    <x v="0"/>
    <n v="7600"/>
  </r>
  <r>
    <s v="C038"/>
    <s v="Amit Desai"/>
    <x v="2"/>
    <x v="1"/>
    <x v="7"/>
    <x v="0"/>
    <n v="6200"/>
  </r>
  <r>
    <s v="C039"/>
    <s v="Riya Nair"/>
    <x v="0"/>
    <x v="3"/>
    <x v="7"/>
    <x v="0"/>
    <n v="17900"/>
  </r>
  <r>
    <s v="C040"/>
    <s v="Deepak Joshi"/>
    <x v="3"/>
    <x v="4"/>
    <x v="7"/>
    <x v="0"/>
    <n v="21700"/>
  </r>
  <r>
    <s v="C041"/>
    <s v="Aditi Shah"/>
    <x v="2"/>
    <x v="0"/>
    <x v="8"/>
    <x v="0"/>
    <n v="83500"/>
  </r>
  <r>
    <s v="C042"/>
    <s v="Pooja Bansal"/>
    <x v="1"/>
    <x v="2"/>
    <x v="8"/>
    <x v="0"/>
    <n v="9300"/>
  </r>
  <r>
    <s v="C043"/>
    <s v="Nikhil Kumar"/>
    <x v="0"/>
    <x v="1"/>
    <x v="8"/>
    <x v="0"/>
    <n v="6400"/>
  </r>
  <r>
    <s v="C044"/>
    <s v="Meena Iyer"/>
    <x v="3"/>
    <x v="3"/>
    <x v="8"/>
    <x v="0"/>
    <n v="15800"/>
  </r>
  <r>
    <s v="C045"/>
    <s v="Sanjay Verma"/>
    <x v="2"/>
    <x v="4"/>
    <x v="8"/>
    <x v="0"/>
    <n v="19600"/>
  </r>
  <r>
    <s v="C046"/>
    <s v="Rajesh Sharma"/>
    <x v="0"/>
    <x v="0"/>
    <x v="9"/>
    <x v="0"/>
    <n v="82100"/>
  </r>
  <r>
    <s v="C047"/>
    <s v="Priya Mehta"/>
    <x v="1"/>
    <x v="2"/>
    <x v="9"/>
    <x v="0"/>
    <n v="8000"/>
  </r>
  <r>
    <s v="C048"/>
    <s v="Rahul Patel"/>
    <x v="3"/>
    <x v="1"/>
    <x v="9"/>
    <x v="0"/>
    <n v="6800"/>
  </r>
  <r>
    <s v="C049"/>
    <s v="Sneha Rao"/>
    <x v="2"/>
    <x v="3"/>
    <x v="9"/>
    <x v="0"/>
    <n v="16200"/>
  </r>
  <r>
    <s v="C050"/>
    <s v="Arif Khan"/>
    <x v="0"/>
    <x v="4"/>
    <x v="9"/>
    <x v="0"/>
    <n v="20900"/>
  </r>
  <r>
    <s v="C051"/>
    <s v="Karan Singh"/>
    <x v="2"/>
    <x v="0"/>
    <x v="10"/>
    <x v="0"/>
    <n v="85900"/>
  </r>
  <r>
    <s v="C052"/>
    <s v="Neha Gupta"/>
    <x v="1"/>
    <x v="2"/>
    <x v="10"/>
    <x v="0"/>
    <n v="8400"/>
  </r>
  <r>
    <s v="C053"/>
    <s v="Amit Desai"/>
    <x v="3"/>
    <x v="1"/>
    <x v="10"/>
    <x v="0"/>
    <n v="6300"/>
  </r>
  <r>
    <s v="C054"/>
    <s v="Riya Nair"/>
    <x v="0"/>
    <x v="3"/>
    <x v="10"/>
    <x v="0"/>
    <n v="17800"/>
  </r>
  <r>
    <s v="C055"/>
    <s v="Deepak Joshi"/>
    <x v="2"/>
    <x v="4"/>
    <x v="10"/>
    <x v="0"/>
    <n v="21500"/>
  </r>
  <r>
    <s v="C056"/>
    <s v="Aditi Shah"/>
    <x v="0"/>
    <x v="0"/>
    <x v="11"/>
    <x v="0"/>
    <n v="88000"/>
  </r>
  <r>
    <s v="C057"/>
    <s v="Pooja Bansal"/>
    <x v="1"/>
    <x v="2"/>
    <x v="11"/>
    <x v="0"/>
    <n v="8700"/>
  </r>
  <r>
    <s v="C058"/>
    <s v="Nikhil Kumar"/>
    <x v="3"/>
    <x v="1"/>
    <x v="11"/>
    <x v="0"/>
    <n v="5900"/>
  </r>
  <r>
    <s v="C059"/>
    <s v="Meena Iyer"/>
    <x v="2"/>
    <x v="3"/>
    <x v="11"/>
    <x v="0"/>
    <n v="18600"/>
  </r>
  <r>
    <s v="C060"/>
    <s v="Sanjay Verma"/>
    <x v="0"/>
    <x v="4"/>
    <x v="11"/>
    <x v="0"/>
    <n v="19800"/>
  </r>
  <r>
    <s v="C061"/>
    <s v="Rajesh Sharma"/>
    <x v="1"/>
    <x v="0"/>
    <x v="0"/>
    <x v="1"/>
    <n v="86500"/>
  </r>
  <r>
    <s v="C062"/>
    <s v="Priya Mehta"/>
    <x v="2"/>
    <x v="2"/>
    <x v="0"/>
    <x v="1"/>
    <n v="8000"/>
  </r>
  <r>
    <s v="C063"/>
    <s v="Rahul Patel"/>
    <x v="3"/>
    <x v="1"/>
    <x v="0"/>
    <x v="1"/>
    <n v="5700"/>
  </r>
  <r>
    <s v="C064"/>
    <s v="Sneha Rao"/>
    <x v="0"/>
    <x v="3"/>
    <x v="0"/>
    <x v="1"/>
    <n v="15600"/>
  </r>
  <r>
    <s v="C065"/>
    <s v="Arif Khan"/>
    <x v="2"/>
    <x v="4"/>
    <x v="0"/>
    <x v="1"/>
    <n v="20400"/>
  </r>
  <r>
    <s v="C066"/>
    <s v="Karan Singh"/>
    <x v="3"/>
    <x v="0"/>
    <x v="1"/>
    <x v="1"/>
    <n v="82300"/>
  </r>
  <r>
    <s v="C067"/>
    <s v="Neha Gupta"/>
    <x v="1"/>
    <x v="2"/>
    <x v="1"/>
    <x v="1"/>
    <n v="9000"/>
  </r>
  <r>
    <s v="C068"/>
    <s v="Amit Desai"/>
    <x v="2"/>
    <x v="1"/>
    <x v="1"/>
    <x v="1"/>
    <n v="6100"/>
  </r>
  <r>
    <s v="C069"/>
    <s v="Riya Nair"/>
    <x v="0"/>
    <x v="3"/>
    <x v="1"/>
    <x v="1"/>
    <n v="16700"/>
  </r>
  <r>
    <s v="C070"/>
    <s v="Deepak Joshi"/>
    <x v="3"/>
    <x v="4"/>
    <x v="1"/>
    <x v="1"/>
    <n v="20600"/>
  </r>
  <r>
    <s v="C071"/>
    <s v="Aditi Shah"/>
    <x v="1"/>
    <x v="0"/>
    <x v="2"/>
    <x v="1"/>
    <n v="84900"/>
  </r>
  <r>
    <s v="C072"/>
    <s v="Pooja Bansal"/>
    <x v="2"/>
    <x v="2"/>
    <x v="2"/>
    <x v="1"/>
    <n v="8800"/>
  </r>
  <r>
    <s v="C073"/>
    <s v="Nikhil Kumar"/>
    <x v="3"/>
    <x v="1"/>
    <x v="2"/>
    <x v="1"/>
    <n v="5900"/>
  </r>
  <r>
    <s v="C074"/>
    <s v="Meena Iyer"/>
    <x v="0"/>
    <x v="3"/>
    <x v="2"/>
    <x v="1"/>
    <n v="17400"/>
  </r>
  <r>
    <s v="C075"/>
    <s v="Sanjay Verma"/>
    <x v="2"/>
    <x v="4"/>
    <x v="2"/>
    <x v="1"/>
    <n v="21200"/>
  </r>
  <r>
    <s v="C076"/>
    <s v="Rajesh Sharma"/>
    <x v="0"/>
    <x v="0"/>
    <x v="3"/>
    <x v="1"/>
    <n v="88300"/>
  </r>
  <r>
    <s v="C077"/>
    <s v="Priya Mehta"/>
    <x v="1"/>
    <x v="2"/>
    <x v="3"/>
    <x v="1"/>
    <n v="8600"/>
  </r>
  <r>
    <s v="C078"/>
    <s v="Rahul Patel"/>
    <x v="3"/>
    <x v="1"/>
    <x v="3"/>
    <x v="1"/>
    <n v="6000"/>
  </r>
  <r>
    <s v="C079"/>
    <s v="Sneha Rao"/>
    <x v="2"/>
    <x v="3"/>
    <x v="3"/>
    <x v="1"/>
    <n v="18300"/>
  </r>
  <r>
    <s v="C080"/>
    <s v="Arif Khan"/>
    <x v="0"/>
    <x v="4"/>
    <x v="3"/>
    <x v="1"/>
    <n v="19400"/>
  </r>
  <r>
    <s v="C081"/>
    <s v="Karan Singh"/>
    <x v="1"/>
    <x v="0"/>
    <x v="4"/>
    <x v="1"/>
    <n v="83700"/>
  </r>
  <r>
    <s v="C082"/>
    <s v="Neha Gupta"/>
    <x v="2"/>
    <x v="2"/>
    <x v="4"/>
    <x v="1"/>
    <n v="7900"/>
  </r>
  <r>
    <s v="C083"/>
    <s v="Amit Desai"/>
    <x v="3"/>
    <x v="1"/>
    <x v="4"/>
    <x v="1"/>
    <n v="6500"/>
  </r>
  <r>
    <s v="C084"/>
    <s v="Riya Nair"/>
    <x v="0"/>
    <x v="3"/>
    <x v="4"/>
    <x v="1"/>
    <n v="15700"/>
  </r>
  <r>
    <s v="C085"/>
    <s v="Deepak Joshi"/>
    <x v="2"/>
    <x v="4"/>
    <x v="4"/>
    <x v="1"/>
    <n v="20800"/>
  </r>
  <r>
    <s v="C086"/>
    <s v="Aditi Shah"/>
    <x v="3"/>
    <x v="0"/>
    <x v="5"/>
    <x v="1"/>
    <n v="82100"/>
  </r>
  <r>
    <s v="C087"/>
    <s v="Pooja Bansal"/>
    <x v="1"/>
    <x v="2"/>
    <x v="5"/>
    <x v="1"/>
    <n v="9100"/>
  </r>
  <r>
    <s v="C088"/>
    <s v="Nikhil Kumar"/>
    <x v="2"/>
    <x v="1"/>
    <x v="5"/>
    <x v="1"/>
    <n v="5800"/>
  </r>
  <r>
    <s v="C089"/>
    <s v="Meena Iyer"/>
    <x v="0"/>
    <x v="3"/>
    <x v="5"/>
    <x v="1"/>
    <n v="16200"/>
  </r>
  <r>
    <s v="C090"/>
    <s v="Sanjay Verma"/>
    <x v="3"/>
    <x v="4"/>
    <x v="5"/>
    <x v="1"/>
    <n v="20500"/>
  </r>
  <r>
    <s v="C091"/>
    <s v="Rajesh Sharma"/>
    <x v="0"/>
    <x v="0"/>
    <x v="6"/>
    <x v="1"/>
    <n v="85400"/>
  </r>
  <r>
    <s v="C092"/>
    <s v="Priya Mehta"/>
    <x v="1"/>
    <x v="2"/>
    <x v="6"/>
    <x v="1"/>
    <n v="8300"/>
  </r>
  <r>
    <s v="C093"/>
    <s v="Rahul Patel"/>
    <x v="2"/>
    <x v="1"/>
    <x v="6"/>
    <x v="1"/>
    <n v="6000"/>
  </r>
  <r>
    <s v="C094"/>
    <s v="Sneha Rao"/>
    <x v="3"/>
    <x v="3"/>
    <x v="6"/>
    <x v="1"/>
    <n v="18000"/>
  </r>
  <r>
    <s v="C095"/>
    <s v="Arif Khan"/>
    <x v="0"/>
    <x v="4"/>
    <x v="6"/>
    <x v="1"/>
    <n v="19900"/>
  </r>
  <r>
    <s v="C096"/>
    <s v="Karan Singh"/>
    <x v="2"/>
    <x v="0"/>
    <x v="7"/>
    <x v="1"/>
    <n v="87700"/>
  </r>
  <r>
    <s v="C097"/>
    <s v="Neha Gupta"/>
    <x v="1"/>
    <x v="2"/>
    <x v="7"/>
    <x v="1"/>
    <n v="9000"/>
  </r>
  <r>
    <s v="C098"/>
    <s v="Amit Desai"/>
    <x v="3"/>
    <x v="1"/>
    <x v="7"/>
    <x v="1"/>
    <n v="6400"/>
  </r>
  <r>
    <s v="C099"/>
    <s v="Riya Nair"/>
    <x v="0"/>
    <x v="3"/>
    <x v="7"/>
    <x v="1"/>
    <n v="17200"/>
  </r>
  <r>
    <s v="C100"/>
    <s v="Deepak Joshi"/>
    <x v="2"/>
    <x v="4"/>
    <x v="7"/>
    <x v="1"/>
    <n v="21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B1E198-4E82-4CE8-850F-275C6C5EB0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9:A30" firstHeaderRow="1" firstDataRow="1" firstDataCol="0"/>
  <pivotFields count="7">
    <pivotField showAll="0"/>
    <pivotField showAll="0"/>
    <pivotField showAll="0">
      <items count="5">
        <item x="2"/>
        <item h="1" x="0"/>
        <item h="1" x="1"/>
        <item h="1" x="3"/>
        <item t="default"/>
      </items>
    </pivotField>
    <pivotField showAll="0">
      <items count="6">
        <item x="2"/>
        <item x="0"/>
        <item x="3"/>
        <item x="1"/>
        <item x="4"/>
        <item t="default"/>
      </items>
    </pivotField>
    <pivotField showAll="0"/>
    <pivotField showAll="0">
      <items count="3">
        <item x="0"/>
        <item x="1"/>
        <item t="default"/>
      </items>
    </pivotField>
    <pivotField dataField="1" numFmtId="3" showAll="0"/>
  </pivotFields>
  <rowItems count="1">
    <i/>
  </rowItems>
  <colItems count="1">
    <i/>
  </colItems>
  <dataFields count="1">
    <dataField name="Total Sales" fld="6" baseField="0" baseItem="0" numFmtId="3"/>
  </dataField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75AE4C-B3CC-4F67-AC20-5ADA3CAEDD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3:P16" firstHeaderRow="1" firstDataRow="1" firstDataCol="1"/>
  <pivotFields count="7">
    <pivotField showAll="0"/>
    <pivotField showAll="0"/>
    <pivotField showAll="0">
      <items count="5">
        <item x="2"/>
        <item h="1" x="0"/>
        <item h="1" x="1"/>
        <item h="1" x="3"/>
        <item t="default"/>
      </items>
    </pivotField>
    <pivotField showAll="0">
      <items count="6">
        <item x="2"/>
        <item x="0"/>
        <item x="3"/>
        <item x="1"/>
        <item x="4"/>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 dataField="1" numFmtId="3" showAll="0"/>
  </pivotFields>
  <rowFields count="1">
    <field x="4"/>
  </rowFields>
  <rowItems count="13">
    <i>
      <x/>
    </i>
    <i>
      <x v="1"/>
    </i>
    <i>
      <x v="2"/>
    </i>
    <i>
      <x v="3"/>
    </i>
    <i>
      <x v="4"/>
    </i>
    <i>
      <x v="5"/>
    </i>
    <i>
      <x v="6"/>
    </i>
    <i>
      <x v="7"/>
    </i>
    <i>
      <x v="8"/>
    </i>
    <i>
      <x v="9"/>
    </i>
    <i>
      <x v="10"/>
    </i>
    <i>
      <x v="11"/>
    </i>
    <i t="grand">
      <x/>
    </i>
  </rowItems>
  <colItems count="1">
    <i/>
  </colItems>
  <dataFields count="1">
    <dataField name="Sum of Sales Amount" fld="6"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BDB42-B0D6-4D54-BEFB-C312FF6C8D03}"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A41:A42" firstHeaderRow="1" firstDataRow="1" firstDataCol="0"/>
  <pivotFields count="7">
    <pivotField showAll="0"/>
    <pivotField showAll="0"/>
    <pivotField showAll="0">
      <items count="5">
        <item x="2"/>
        <item h="1" x="0"/>
        <item h="1" x="1"/>
        <item h="1" x="3"/>
        <item t="default"/>
      </items>
    </pivotField>
    <pivotField dataField="1" showAll="0">
      <items count="6">
        <item x="2"/>
        <item x="0"/>
        <item x="3"/>
        <item x="1"/>
        <item x="4"/>
        <item t="default"/>
      </items>
    </pivotField>
    <pivotField showAll="0"/>
    <pivotField showAll="0">
      <items count="3">
        <item x="0"/>
        <item x="1"/>
        <item t="default"/>
      </items>
    </pivotField>
    <pivotField numFmtId="3" showAll="0"/>
  </pivotFields>
  <rowItems count="1">
    <i/>
  </rowItems>
  <colItems count="1">
    <i/>
  </colItems>
  <dataFields count="1">
    <dataField name="Total Produc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195C25-4D17-42ED-818A-AC20E7F070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8:A39" firstHeaderRow="1" firstDataRow="1" firstDataCol="0"/>
  <pivotFields count="7">
    <pivotField showAll="0"/>
    <pivotField showAll="0"/>
    <pivotField showAll="0">
      <items count="5">
        <item x="2"/>
        <item h="1" x="0"/>
        <item h="1" x="1"/>
        <item h="1" x="3"/>
        <item t="default"/>
      </items>
    </pivotField>
    <pivotField showAll="0">
      <items count="6">
        <item x="2"/>
        <item x="0"/>
        <item x="3"/>
        <item x="1"/>
        <item x="4"/>
        <item t="default"/>
      </items>
    </pivotField>
    <pivotField showAll="0"/>
    <pivotField showAll="0">
      <items count="3">
        <item x="0"/>
        <item x="1"/>
        <item t="default"/>
      </items>
    </pivotField>
    <pivotField dataField="1" numFmtId="3" showAll="0"/>
  </pivotFields>
  <rowItems count="1">
    <i/>
  </rowItems>
  <colItems count="1">
    <i/>
  </colItems>
  <dataFields count="1">
    <dataField name="Min Sales" fld="6" subtotal="min" baseField="0" baseItem="0" numFmtId="3"/>
  </dataField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8EA8E8-7253-492E-9BD7-C04B93A956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3:I9" firstHeaderRow="1" firstDataRow="1" firstDataCol="1"/>
  <pivotFields count="7">
    <pivotField showAll="0"/>
    <pivotField showAll="0"/>
    <pivotField showAll="0">
      <items count="5">
        <item x="2"/>
        <item h="1" x="0"/>
        <item h="1" x="1"/>
        <item h="1" x="3"/>
        <item t="default"/>
      </items>
    </pivotField>
    <pivotField axis="axisRow" showAll="0">
      <items count="6">
        <item x="2"/>
        <item x="0"/>
        <item x="3"/>
        <item x="1"/>
        <item x="4"/>
        <item t="default"/>
      </items>
    </pivotField>
    <pivotField showAll="0"/>
    <pivotField showAll="0">
      <items count="3">
        <item x="0"/>
        <item x="1"/>
        <item t="default"/>
      </items>
    </pivotField>
    <pivotField dataField="1" numFmtId="3" showAll="0"/>
  </pivotFields>
  <rowFields count="1">
    <field x="3"/>
  </rowFields>
  <rowItems count="6">
    <i>
      <x/>
    </i>
    <i>
      <x v="1"/>
    </i>
    <i>
      <x v="2"/>
    </i>
    <i>
      <x v="3"/>
    </i>
    <i>
      <x v="4"/>
    </i>
    <i t="grand">
      <x/>
    </i>
  </rowItems>
  <colItems count="1">
    <i/>
  </colItems>
  <dataFields count="1">
    <dataField name="Sum of Sales Amount" fld="6" baseField="0" baseItem="0" numFmtId="3"/>
  </dataFields>
  <chartFormats count="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F94AB2-1207-4F2F-8EF2-55A177B98D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5:A36" firstHeaderRow="1" firstDataRow="1" firstDataCol="0"/>
  <pivotFields count="7">
    <pivotField showAll="0"/>
    <pivotField showAll="0"/>
    <pivotField showAll="0">
      <items count="5">
        <item x="2"/>
        <item h="1" x="0"/>
        <item h="1" x="1"/>
        <item h="1" x="3"/>
        <item t="default"/>
      </items>
    </pivotField>
    <pivotField showAll="0">
      <items count="6">
        <item x="2"/>
        <item x="0"/>
        <item x="3"/>
        <item x="1"/>
        <item x="4"/>
        <item t="default"/>
      </items>
    </pivotField>
    <pivotField showAll="0"/>
    <pivotField showAll="0">
      <items count="3">
        <item x="0"/>
        <item x="1"/>
        <item t="default"/>
      </items>
    </pivotField>
    <pivotField dataField="1" numFmtId="3" showAll="0"/>
  </pivotFields>
  <rowItems count="1">
    <i/>
  </rowItems>
  <colItems count="1">
    <i/>
  </colItems>
  <dataFields count="1">
    <dataField name="Max Sales" fld="6" subtotal="max" baseField="0" baseItem="0" numFmtId="3"/>
  </dataField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77344B-20BB-4D06-BC11-772DBB75840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7">
    <pivotField showAll="0"/>
    <pivotField showAll="0"/>
    <pivotField axis="axisRow" showAll="0">
      <items count="5">
        <item x="2"/>
        <item x="0"/>
        <item x="1"/>
        <item x="3"/>
        <item t="default"/>
      </items>
    </pivotField>
    <pivotField showAll="0">
      <items count="6">
        <item x="2"/>
        <item x="0"/>
        <item x="3"/>
        <item x="1"/>
        <item x="4"/>
        <item t="default"/>
      </items>
    </pivotField>
    <pivotField showAll="0"/>
    <pivotField showAll="0">
      <items count="3">
        <item x="0"/>
        <item x="1"/>
        <item t="default"/>
      </items>
    </pivotField>
    <pivotField dataField="1" numFmtId="3" showAll="0"/>
  </pivotFields>
  <rowFields count="1">
    <field x="2"/>
  </rowFields>
  <rowItems count="5">
    <i>
      <x/>
    </i>
    <i>
      <x v="1"/>
    </i>
    <i>
      <x v="2"/>
    </i>
    <i>
      <x v="3"/>
    </i>
    <i t="grand">
      <x/>
    </i>
  </rowItems>
  <colItems count="1">
    <i/>
  </colItems>
  <dataFields count="1">
    <dataField name="Sum of Sales Amount" fld="6" baseField="0" baseItem="0" numFmtId="3"/>
  </dataFields>
  <chartFormats count="10">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4"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9BF1ED-35ED-490A-A218-E89137590E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2:A33" firstHeaderRow="1" firstDataRow="1" firstDataCol="0"/>
  <pivotFields count="7">
    <pivotField showAll="0"/>
    <pivotField showAll="0"/>
    <pivotField showAll="0">
      <items count="5">
        <item x="2"/>
        <item h="1" x="0"/>
        <item h="1" x="1"/>
        <item h="1" x="3"/>
        <item t="default"/>
      </items>
    </pivotField>
    <pivotField showAll="0">
      <items count="6">
        <item x="2"/>
        <item x="0"/>
        <item x="3"/>
        <item x="1"/>
        <item x="4"/>
        <item t="default"/>
      </items>
    </pivotField>
    <pivotField showAll="0"/>
    <pivotField showAll="0">
      <items count="3">
        <item x="0"/>
        <item x="1"/>
        <item t="default"/>
      </items>
    </pivotField>
    <pivotField dataField="1" numFmtId="3" showAll="0"/>
  </pivotFields>
  <rowItems count="1">
    <i/>
  </rowItems>
  <colItems count="1">
    <i/>
  </colItems>
  <dataFields count="1">
    <dataField name="Avg Sales" fld="6" subtotal="average" baseField="0" baseItem="0" numFmtId="3"/>
  </dataField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7B896F2B-6A83-4FA1-930C-6185ABED391A}" sourceName="Region">
  <pivotTables>
    <pivotTable tabId="58" name="PivotTable6"/>
    <pivotTable tabId="58" name="PivotTable7"/>
    <pivotTable tabId="58" name="PivotTable1"/>
    <pivotTable tabId="58" name="PivotTable8"/>
    <pivotTable tabId="58" name="PivotTable2"/>
    <pivotTable tabId="58" name="PivotTable3"/>
    <pivotTable tabId="58" name="PivotTable4"/>
  </pivotTables>
  <data>
    <tabular pivotCacheId="1950117635">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96660C93-EC33-4E96-BB03-3EBB95B8E07E}" sourceName="Product">
  <pivotTables>
    <pivotTable tabId="58" name="PivotTable5"/>
    <pivotTable tabId="58" name="PivotTable7"/>
    <pivotTable tabId="58" name="PivotTable1"/>
    <pivotTable tabId="58" name="PivotTable2"/>
    <pivotTable tabId="58" name="PivotTable3"/>
    <pivotTable tabId="58" name="PivotTable4"/>
    <pivotTable tabId="58" name="PivotTable8"/>
  </pivotTables>
  <data>
    <tabular pivotCacheId="1950117635">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2D22C46-E159-43FB-BBF8-9415595E5288}" sourceName="Year">
  <pivotTables>
    <pivotTable tabId="58" name="PivotTable5"/>
    <pivotTable tabId="58" name="PivotTable6"/>
    <pivotTable tabId="58" name="PivotTable7"/>
    <pivotTable tabId="58" name="PivotTable1"/>
    <pivotTable tabId="58" name="PivotTable2"/>
    <pivotTable tabId="58" name="PivotTable3"/>
    <pivotTable tabId="58" name="PivotTable4"/>
    <pivotTable tabId="58" name="PivotTable8"/>
  </pivotTables>
  <data>
    <tabular pivotCacheId="195011763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AC4537BD-BF71-415D-AB68-676B3A5F7796}" cache="Slicer_Region3" caption="Region" rowHeight="257175"/>
  <slicer name="Product 2" xr10:uid="{D731AD18-9E84-425E-832C-E6D488A4A314}" cache="Slicer_Product2" caption="Product" rowHeight="257175"/>
  <slicer name="Year 1" xr10:uid="{DFE56C83-68BA-48DD-8DCF-FA16936B26F5}" cache="Slicer_Year1" caption="Yea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EBE68692-696F-4407-86E7-C44EA3F20113}" cache="Slicer_Region3" caption="Region" style="SlicerStyleDark4" rowHeight="257175"/>
  <slicer name="Product 3" xr10:uid="{8725559B-91A9-437A-B3AF-69A2385658EA}" cache="Slicer_Product2" caption="Product" style="SlicerStyleDark4" rowHeight="257175"/>
  <slicer name="Year 2" xr10:uid="{098066C0-9E5C-4617-AA70-B14C1290CD83}" cache="Slicer_Year1" caption="Year" style="SlicerStyleDark4"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4CDDB-FE0A-4060-A29F-39477D74EAAB}">
  <sheetPr>
    <tabColor rgb="FFFF0000"/>
  </sheetPr>
  <dimension ref="A1:G101"/>
  <sheetViews>
    <sheetView zoomScale="150" zoomScaleNormal="150" workbookViewId="0">
      <selection activeCell="R13" sqref="R13"/>
    </sheetView>
  </sheetViews>
  <sheetFormatPr defaultRowHeight="14.4" x14ac:dyDescent="0.3"/>
  <cols>
    <col min="1" max="1" width="17.109375" bestFit="1" customWidth="1"/>
    <col min="2" max="2" width="22.109375" bestFit="1" customWidth="1"/>
    <col min="3" max="3" width="13.44140625" customWidth="1"/>
    <col min="4" max="4" width="15.109375" customWidth="1"/>
    <col min="5" max="5" width="13.6640625" customWidth="1"/>
    <col min="6" max="6" width="12.5546875" customWidth="1"/>
    <col min="7" max="7" width="21.5546875" customWidth="1"/>
  </cols>
  <sheetData>
    <row r="1" spans="1:7" ht="21" x14ac:dyDescent="0.3">
      <c r="A1" s="4" t="s">
        <v>32</v>
      </c>
      <c r="B1" s="5" t="s">
        <v>9</v>
      </c>
      <c r="C1" s="4" t="s">
        <v>8</v>
      </c>
      <c r="D1" s="4" t="s">
        <v>2</v>
      </c>
      <c r="E1" s="4" t="s">
        <v>14</v>
      </c>
      <c r="F1" s="4" t="s">
        <v>27</v>
      </c>
      <c r="G1" s="4" t="s">
        <v>23</v>
      </c>
    </row>
    <row r="2" spans="1:7" ht="15.6" x14ac:dyDescent="0.3">
      <c r="A2" s="1" t="s">
        <v>33</v>
      </c>
      <c r="B2" s="1" t="s">
        <v>34</v>
      </c>
      <c r="C2" s="1" t="s">
        <v>11</v>
      </c>
      <c r="D2" s="1" t="s">
        <v>1</v>
      </c>
      <c r="E2" s="2" t="s">
        <v>15</v>
      </c>
      <c r="F2" s="1">
        <v>2023</v>
      </c>
      <c r="G2" s="7">
        <v>85400</v>
      </c>
    </row>
    <row r="3" spans="1:7" ht="15.6" x14ac:dyDescent="0.3">
      <c r="A3" s="1" t="s">
        <v>35</v>
      </c>
      <c r="B3" s="1" t="s">
        <v>36</v>
      </c>
      <c r="C3" s="1" t="s">
        <v>13</v>
      </c>
      <c r="D3" s="1" t="s">
        <v>5</v>
      </c>
      <c r="E3" s="2" t="s">
        <v>15</v>
      </c>
      <c r="F3" s="1">
        <v>2023</v>
      </c>
      <c r="G3" s="7">
        <v>5900</v>
      </c>
    </row>
    <row r="4" spans="1:7" ht="15.6" x14ac:dyDescent="0.3">
      <c r="A4" s="1" t="s">
        <v>37</v>
      </c>
      <c r="B4" s="1" t="s">
        <v>38</v>
      </c>
      <c r="C4" s="1" t="s">
        <v>10</v>
      </c>
      <c r="D4" s="1" t="s">
        <v>4</v>
      </c>
      <c r="E4" s="2" t="s">
        <v>15</v>
      </c>
      <c r="F4" s="1">
        <v>2023</v>
      </c>
      <c r="G4" s="7">
        <v>7400</v>
      </c>
    </row>
    <row r="5" spans="1:7" ht="15.6" x14ac:dyDescent="0.3">
      <c r="A5" s="1" t="s">
        <v>39</v>
      </c>
      <c r="B5" s="1" t="s">
        <v>40</v>
      </c>
      <c r="C5" s="1" t="s">
        <v>12</v>
      </c>
      <c r="D5" s="1" t="s">
        <v>6</v>
      </c>
      <c r="E5" s="2" t="s">
        <v>15</v>
      </c>
      <c r="F5" s="1">
        <v>2023</v>
      </c>
      <c r="G5" s="7">
        <v>14600</v>
      </c>
    </row>
    <row r="6" spans="1:7" ht="15.6" x14ac:dyDescent="0.3">
      <c r="A6" s="1" t="s">
        <v>41</v>
      </c>
      <c r="B6" s="1" t="s">
        <v>42</v>
      </c>
      <c r="C6" s="1" t="s">
        <v>11</v>
      </c>
      <c r="D6" s="1" t="s">
        <v>7</v>
      </c>
      <c r="E6" s="2" t="s">
        <v>15</v>
      </c>
      <c r="F6" s="1">
        <v>2023</v>
      </c>
      <c r="G6" s="7">
        <v>19200</v>
      </c>
    </row>
    <row r="7" spans="1:7" ht="15.6" x14ac:dyDescent="0.3">
      <c r="A7" s="1" t="s">
        <v>43</v>
      </c>
      <c r="B7" s="1" t="s">
        <v>60</v>
      </c>
      <c r="C7" s="1" t="s">
        <v>10</v>
      </c>
      <c r="D7" s="1" t="s">
        <v>1</v>
      </c>
      <c r="E7" s="2" t="s">
        <v>16</v>
      </c>
      <c r="F7" s="1">
        <v>2023</v>
      </c>
      <c r="G7" s="7">
        <v>78300</v>
      </c>
    </row>
    <row r="8" spans="1:7" ht="15.6" x14ac:dyDescent="0.3">
      <c r="A8" s="1" t="s">
        <v>44</v>
      </c>
      <c r="B8" s="1" t="s">
        <v>0</v>
      </c>
      <c r="C8" s="1" t="s">
        <v>13</v>
      </c>
      <c r="D8" s="1" t="s">
        <v>4</v>
      </c>
      <c r="E8" s="2" t="s">
        <v>16</v>
      </c>
      <c r="F8" s="1">
        <v>2023</v>
      </c>
      <c r="G8" s="7">
        <v>8500</v>
      </c>
    </row>
    <row r="9" spans="1:7" ht="15.6" x14ac:dyDescent="0.3">
      <c r="A9" s="1" t="s">
        <v>45</v>
      </c>
      <c r="B9" s="1" t="s">
        <v>61</v>
      </c>
      <c r="C9" s="1" t="s">
        <v>12</v>
      </c>
      <c r="D9" s="1" t="s">
        <v>5</v>
      </c>
      <c r="E9" s="2" t="s">
        <v>16</v>
      </c>
      <c r="F9" s="1">
        <v>2023</v>
      </c>
      <c r="G9" s="7">
        <v>6400</v>
      </c>
    </row>
    <row r="10" spans="1:7" ht="15.6" x14ac:dyDescent="0.3">
      <c r="A10" s="1" t="s">
        <v>46</v>
      </c>
      <c r="B10" s="1" t="s">
        <v>62</v>
      </c>
      <c r="C10" s="1" t="s">
        <v>11</v>
      </c>
      <c r="D10" s="1" t="s">
        <v>6</v>
      </c>
      <c r="E10" s="2" t="s">
        <v>16</v>
      </c>
      <c r="F10" s="1">
        <v>2023</v>
      </c>
      <c r="G10" s="7">
        <v>16800</v>
      </c>
    </row>
    <row r="11" spans="1:7" ht="15.6" x14ac:dyDescent="0.3">
      <c r="A11" s="1" t="s">
        <v>47</v>
      </c>
      <c r="B11" s="1" t="s">
        <v>63</v>
      </c>
      <c r="C11" s="1" t="s">
        <v>10</v>
      </c>
      <c r="D11" s="1" t="s">
        <v>7</v>
      </c>
      <c r="E11" s="2" t="s">
        <v>16</v>
      </c>
      <c r="F11" s="1">
        <v>2023</v>
      </c>
      <c r="G11" s="7">
        <v>21000</v>
      </c>
    </row>
    <row r="12" spans="1:7" ht="15.6" x14ac:dyDescent="0.3">
      <c r="A12" s="1" t="s">
        <v>48</v>
      </c>
      <c r="B12" s="1" t="s">
        <v>64</v>
      </c>
      <c r="C12" s="1" t="s">
        <v>12</v>
      </c>
      <c r="D12" s="1" t="s">
        <v>1</v>
      </c>
      <c r="E12" s="2" t="s">
        <v>17</v>
      </c>
      <c r="F12" s="1">
        <v>2023</v>
      </c>
      <c r="G12" s="7">
        <v>82900</v>
      </c>
    </row>
    <row r="13" spans="1:7" ht="15.6" x14ac:dyDescent="0.3">
      <c r="A13" s="1" t="s">
        <v>49</v>
      </c>
      <c r="B13" s="1" t="s">
        <v>65</v>
      </c>
      <c r="C13" s="1" t="s">
        <v>13</v>
      </c>
      <c r="D13" s="1" t="s">
        <v>4</v>
      </c>
      <c r="E13" s="2" t="s">
        <v>17</v>
      </c>
      <c r="F13" s="1">
        <v>2023</v>
      </c>
      <c r="G13" s="7">
        <v>7200</v>
      </c>
    </row>
    <row r="14" spans="1:7" ht="15.6" x14ac:dyDescent="0.3">
      <c r="A14" s="1" t="s">
        <v>50</v>
      </c>
      <c r="B14" s="1" t="s">
        <v>66</v>
      </c>
      <c r="C14" s="1" t="s">
        <v>11</v>
      </c>
      <c r="D14" s="1" t="s">
        <v>5</v>
      </c>
      <c r="E14" s="2" t="s">
        <v>17</v>
      </c>
      <c r="F14" s="1">
        <v>2023</v>
      </c>
      <c r="G14" s="7">
        <v>6100</v>
      </c>
    </row>
    <row r="15" spans="1:7" ht="15.6" x14ac:dyDescent="0.3">
      <c r="A15" s="1" t="s">
        <v>51</v>
      </c>
      <c r="B15" s="1" t="s">
        <v>67</v>
      </c>
      <c r="C15" s="1" t="s">
        <v>10</v>
      </c>
      <c r="D15" s="1" t="s">
        <v>6</v>
      </c>
      <c r="E15" s="2" t="s">
        <v>17</v>
      </c>
      <c r="F15" s="1">
        <v>2023</v>
      </c>
      <c r="G15" s="7">
        <v>17600</v>
      </c>
    </row>
    <row r="16" spans="1:7" ht="15.6" x14ac:dyDescent="0.3">
      <c r="A16" s="1" t="s">
        <v>52</v>
      </c>
      <c r="B16" s="1" t="s">
        <v>68</v>
      </c>
      <c r="C16" s="1" t="s">
        <v>12</v>
      </c>
      <c r="D16" s="1" t="s">
        <v>7</v>
      </c>
      <c r="E16" s="2" t="s">
        <v>17</v>
      </c>
      <c r="F16" s="1">
        <v>2023</v>
      </c>
      <c r="G16" s="7">
        <v>20300</v>
      </c>
    </row>
    <row r="17" spans="1:7" ht="15.6" x14ac:dyDescent="0.3">
      <c r="A17" s="1" t="s">
        <v>53</v>
      </c>
      <c r="B17" s="1" t="s">
        <v>34</v>
      </c>
      <c r="C17" s="1" t="s">
        <v>11</v>
      </c>
      <c r="D17" s="1" t="s">
        <v>1</v>
      </c>
      <c r="E17" s="2" t="s">
        <v>18</v>
      </c>
      <c r="F17" s="1">
        <v>2023</v>
      </c>
      <c r="G17" s="7">
        <v>88700</v>
      </c>
    </row>
    <row r="18" spans="1:7" ht="15.6" x14ac:dyDescent="0.3">
      <c r="A18" s="1" t="s">
        <v>54</v>
      </c>
      <c r="B18" s="1" t="s">
        <v>36</v>
      </c>
      <c r="C18" s="1" t="s">
        <v>13</v>
      </c>
      <c r="D18" s="1" t="s">
        <v>4</v>
      </c>
      <c r="E18" s="2" t="s">
        <v>18</v>
      </c>
      <c r="F18" s="1">
        <v>2023</v>
      </c>
      <c r="G18" s="7">
        <v>9100</v>
      </c>
    </row>
    <row r="19" spans="1:7" ht="15.6" x14ac:dyDescent="0.3">
      <c r="A19" s="1" t="s">
        <v>55</v>
      </c>
      <c r="B19" s="1" t="s">
        <v>38</v>
      </c>
      <c r="C19" s="1" t="s">
        <v>10</v>
      </c>
      <c r="D19" s="1" t="s">
        <v>5</v>
      </c>
      <c r="E19" s="2" t="s">
        <v>18</v>
      </c>
      <c r="F19" s="1">
        <v>2023</v>
      </c>
      <c r="G19" s="7">
        <v>5800</v>
      </c>
    </row>
    <row r="20" spans="1:7" ht="15.6" x14ac:dyDescent="0.3">
      <c r="A20" s="1" t="s">
        <v>56</v>
      </c>
      <c r="B20" s="1" t="s">
        <v>40</v>
      </c>
      <c r="C20" s="1" t="s">
        <v>12</v>
      </c>
      <c r="D20" s="1" t="s">
        <v>6</v>
      </c>
      <c r="E20" s="2" t="s">
        <v>18</v>
      </c>
      <c r="F20" s="1">
        <v>2023</v>
      </c>
      <c r="G20" s="7">
        <v>15500</v>
      </c>
    </row>
    <row r="21" spans="1:7" ht="15.6" x14ac:dyDescent="0.3">
      <c r="A21" s="1" t="s">
        <v>57</v>
      </c>
      <c r="B21" s="1" t="s">
        <v>42</v>
      </c>
      <c r="C21" s="1" t="s">
        <v>11</v>
      </c>
      <c r="D21" s="1" t="s">
        <v>7</v>
      </c>
      <c r="E21" s="2" t="s">
        <v>18</v>
      </c>
      <c r="F21" s="1">
        <v>2023</v>
      </c>
      <c r="G21" s="7">
        <v>19900</v>
      </c>
    </row>
    <row r="22" spans="1:7" ht="15.6" x14ac:dyDescent="0.3">
      <c r="A22" s="1" t="s">
        <v>58</v>
      </c>
      <c r="B22" s="1" t="s">
        <v>60</v>
      </c>
      <c r="C22" s="1" t="s">
        <v>10</v>
      </c>
      <c r="D22" s="1" t="s">
        <v>1</v>
      </c>
      <c r="E22" s="2" t="s">
        <v>19</v>
      </c>
      <c r="F22" s="1">
        <v>2023</v>
      </c>
      <c r="G22" s="7">
        <v>84600</v>
      </c>
    </row>
    <row r="23" spans="1:7" ht="15.6" x14ac:dyDescent="0.3">
      <c r="A23" s="1" t="s">
        <v>59</v>
      </c>
      <c r="B23" s="1" t="s">
        <v>0</v>
      </c>
      <c r="C23" s="1" t="s">
        <v>13</v>
      </c>
      <c r="D23" s="1" t="s">
        <v>4</v>
      </c>
      <c r="E23" s="2" t="s">
        <v>19</v>
      </c>
      <c r="F23" s="1">
        <v>2023</v>
      </c>
      <c r="G23" s="7">
        <v>8200</v>
      </c>
    </row>
    <row r="24" spans="1:7" ht="15.6" x14ac:dyDescent="0.3">
      <c r="A24" s="1" t="s">
        <v>69</v>
      </c>
      <c r="B24" s="1" t="s">
        <v>61</v>
      </c>
      <c r="C24" s="1" t="s">
        <v>12</v>
      </c>
      <c r="D24" s="1" t="s">
        <v>5</v>
      </c>
      <c r="E24" s="2" t="s">
        <v>19</v>
      </c>
      <c r="F24" s="1">
        <v>2023</v>
      </c>
      <c r="G24" s="7">
        <v>6700</v>
      </c>
    </row>
    <row r="25" spans="1:7" ht="15.6" x14ac:dyDescent="0.3">
      <c r="A25" s="1" t="s">
        <v>70</v>
      </c>
      <c r="B25" s="1" t="s">
        <v>62</v>
      </c>
      <c r="C25" s="1" t="s">
        <v>11</v>
      </c>
      <c r="D25" s="1" t="s">
        <v>6</v>
      </c>
      <c r="E25" s="2" t="s">
        <v>19</v>
      </c>
      <c r="F25" s="1">
        <v>2023</v>
      </c>
      <c r="G25" s="7">
        <v>18400</v>
      </c>
    </row>
    <row r="26" spans="1:7" ht="15.6" x14ac:dyDescent="0.3">
      <c r="A26" s="1" t="s">
        <v>71</v>
      </c>
      <c r="B26" s="1" t="s">
        <v>63</v>
      </c>
      <c r="C26" s="1" t="s">
        <v>10</v>
      </c>
      <c r="D26" s="1" t="s">
        <v>7</v>
      </c>
      <c r="E26" s="2" t="s">
        <v>19</v>
      </c>
      <c r="F26" s="1">
        <v>2023</v>
      </c>
      <c r="G26" s="7">
        <v>20100</v>
      </c>
    </row>
    <row r="27" spans="1:7" ht="15.6" x14ac:dyDescent="0.3">
      <c r="A27" s="1" t="s">
        <v>72</v>
      </c>
      <c r="B27" s="1" t="s">
        <v>64</v>
      </c>
      <c r="C27" s="1" t="s">
        <v>11</v>
      </c>
      <c r="D27" s="1" t="s">
        <v>1</v>
      </c>
      <c r="E27" s="2" t="s">
        <v>20</v>
      </c>
      <c r="F27" s="1">
        <v>2023</v>
      </c>
      <c r="G27" s="7">
        <v>79800</v>
      </c>
    </row>
    <row r="28" spans="1:7" ht="15.6" x14ac:dyDescent="0.3">
      <c r="A28" s="1" t="s">
        <v>73</v>
      </c>
      <c r="B28" s="1" t="s">
        <v>65</v>
      </c>
      <c r="C28" s="1" t="s">
        <v>13</v>
      </c>
      <c r="D28" s="1" t="s">
        <v>4</v>
      </c>
      <c r="E28" s="2" t="s">
        <v>20</v>
      </c>
      <c r="F28" s="1">
        <v>2023</v>
      </c>
      <c r="G28" s="7">
        <v>8600</v>
      </c>
    </row>
    <row r="29" spans="1:7" ht="15.6" x14ac:dyDescent="0.3">
      <c r="A29" s="1" t="s">
        <v>74</v>
      </c>
      <c r="B29" s="1" t="s">
        <v>66</v>
      </c>
      <c r="C29" s="1" t="s">
        <v>12</v>
      </c>
      <c r="D29" s="1" t="s">
        <v>5</v>
      </c>
      <c r="E29" s="2" t="s">
        <v>20</v>
      </c>
      <c r="F29" s="1">
        <v>2023</v>
      </c>
      <c r="G29" s="7">
        <v>6000</v>
      </c>
    </row>
    <row r="30" spans="1:7" ht="15.6" x14ac:dyDescent="0.3">
      <c r="A30" s="1" t="s">
        <v>75</v>
      </c>
      <c r="B30" s="1" t="s">
        <v>67</v>
      </c>
      <c r="C30" s="1" t="s">
        <v>10</v>
      </c>
      <c r="D30" s="1" t="s">
        <v>6</v>
      </c>
      <c r="E30" s="2" t="s">
        <v>20</v>
      </c>
      <c r="F30" s="1">
        <v>2023</v>
      </c>
      <c r="G30" s="7">
        <v>17200</v>
      </c>
    </row>
    <row r="31" spans="1:7" ht="15.6" x14ac:dyDescent="0.3">
      <c r="A31" s="1" t="s">
        <v>76</v>
      </c>
      <c r="B31" s="1" t="s">
        <v>68</v>
      </c>
      <c r="C31" s="1" t="s">
        <v>11</v>
      </c>
      <c r="D31" s="1" t="s">
        <v>7</v>
      </c>
      <c r="E31" s="2" t="s">
        <v>20</v>
      </c>
      <c r="F31" s="1">
        <v>2023</v>
      </c>
      <c r="G31" s="7">
        <v>18900</v>
      </c>
    </row>
    <row r="32" spans="1:7" ht="15.6" x14ac:dyDescent="0.3">
      <c r="A32" s="1" t="s">
        <v>77</v>
      </c>
      <c r="B32" s="1" t="s">
        <v>34</v>
      </c>
      <c r="C32" s="1" t="s">
        <v>13</v>
      </c>
      <c r="D32" s="1" t="s">
        <v>1</v>
      </c>
      <c r="E32" s="2" t="s">
        <v>21</v>
      </c>
      <c r="F32" s="1">
        <v>2023</v>
      </c>
      <c r="G32" s="7">
        <v>86400</v>
      </c>
    </row>
    <row r="33" spans="1:7" ht="15.6" x14ac:dyDescent="0.3">
      <c r="A33" s="1" t="s">
        <v>78</v>
      </c>
      <c r="B33" s="1" t="s">
        <v>36</v>
      </c>
      <c r="C33" s="1" t="s">
        <v>10</v>
      </c>
      <c r="D33" s="1" t="s">
        <v>4</v>
      </c>
      <c r="E33" s="2" t="s">
        <v>21</v>
      </c>
      <c r="F33" s="1">
        <v>2023</v>
      </c>
      <c r="G33" s="7">
        <v>8100</v>
      </c>
    </row>
    <row r="34" spans="1:7" ht="15.6" x14ac:dyDescent="0.3">
      <c r="A34" s="1" t="s">
        <v>79</v>
      </c>
      <c r="B34" s="1" t="s">
        <v>38</v>
      </c>
      <c r="C34" s="1" t="s">
        <v>12</v>
      </c>
      <c r="D34" s="1" t="s">
        <v>5</v>
      </c>
      <c r="E34" s="2" t="s">
        <v>21</v>
      </c>
      <c r="F34" s="1">
        <v>2023</v>
      </c>
      <c r="G34" s="7">
        <v>5900</v>
      </c>
    </row>
    <row r="35" spans="1:7" ht="15.6" x14ac:dyDescent="0.3">
      <c r="A35" s="1" t="s">
        <v>80</v>
      </c>
      <c r="B35" s="1" t="s">
        <v>40</v>
      </c>
      <c r="C35" s="1" t="s">
        <v>11</v>
      </c>
      <c r="D35" s="1" t="s">
        <v>6</v>
      </c>
      <c r="E35" s="2" t="s">
        <v>21</v>
      </c>
      <c r="F35" s="1">
        <v>2023</v>
      </c>
      <c r="G35" s="7">
        <v>16700</v>
      </c>
    </row>
    <row r="36" spans="1:7" ht="15.6" x14ac:dyDescent="0.3">
      <c r="A36" s="1" t="s">
        <v>81</v>
      </c>
      <c r="B36" s="1" t="s">
        <v>42</v>
      </c>
      <c r="C36" s="1" t="s">
        <v>10</v>
      </c>
      <c r="D36" s="1" t="s">
        <v>7</v>
      </c>
      <c r="E36" s="2" t="s">
        <v>21</v>
      </c>
      <c r="F36" s="1">
        <v>2023</v>
      </c>
      <c r="G36" s="7">
        <v>20500</v>
      </c>
    </row>
    <row r="37" spans="1:7" ht="15.6" x14ac:dyDescent="0.3">
      <c r="A37" s="1" t="s">
        <v>82</v>
      </c>
      <c r="B37" s="1" t="s">
        <v>60</v>
      </c>
      <c r="C37" s="1" t="s">
        <v>12</v>
      </c>
      <c r="D37" s="1" t="s">
        <v>1</v>
      </c>
      <c r="E37" s="2" t="s">
        <v>22</v>
      </c>
      <c r="F37" s="1">
        <v>2023</v>
      </c>
      <c r="G37" s="7">
        <v>80200</v>
      </c>
    </row>
    <row r="38" spans="1:7" ht="15.6" x14ac:dyDescent="0.3">
      <c r="A38" s="1" t="s">
        <v>83</v>
      </c>
      <c r="B38" s="1" t="s">
        <v>0</v>
      </c>
      <c r="C38" s="1" t="s">
        <v>13</v>
      </c>
      <c r="D38" s="1" t="s">
        <v>4</v>
      </c>
      <c r="E38" s="2" t="s">
        <v>22</v>
      </c>
      <c r="F38" s="1">
        <v>2023</v>
      </c>
      <c r="G38" s="7">
        <v>7600</v>
      </c>
    </row>
    <row r="39" spans="1:7" ht="15.6" x14ac:dyDescent="0.3">
      <c r="A39" s="1" t="s">
        <v>84</v>
      </c>
      <c r="B39" s="1" t="s">
        <v>61</v>
      </c>
      <c r="C39" s="1" t="s">
        <v>10</v>
      </c>
      <c r="D39" s="1" t="s">
        <v>5</v>
      </c>
      <c r="E39" s="2" t="s">
        <v>22</v>
      </c>
      <c r="F39" s="1">
        <v>2023</v>
      </c>
      <c r="G39" s="7">
        <v>6200</v>
      </c>
    </row>
    <row r="40" spans="1:7" ht="15.6" x14ac:dyDescent="0.3">
      <c r="A40" s="1" t="s">
        <v>85</v>
      </c>
      <c r="B40" s="1" t="s">
        <v>62</v>
      </c>
      <c r="C40" s="1" t="s">
        <v>11</v>
      </c>
      <c r="D40" s="1" t="s">
        <v>6</v>
      </c>
      <c r="E40" s="2" t="s">
        <v>22</v>
      </c>
      <c r="F40" s="1">
        <v>2023</v>
      </c>
      <c r="G40" s="7">
        <v>17900</v>
      </c>
    </row>
    <row r="41" spans="1:7" ht="15.6" x14ac:dyDescent="0.3">
      <c r="A41" s="1" t="s">
        <v>86</v>
      </c>
      <c r="B41" s="1" t="s">
        <v>63</v>
      </c>
      <c r="C41" s="1" t="s">
        <v>12</v>
      </c>
      <c r="D41" s="1" t="s">
        <v>7</v>
      </c>
      <c r="E41" s="2" t="s">
        <v>22</v>
      </c>
      <c r="F41" s="1">
        <v>2023</v>
      </c>
      <c r="G41" s="7">
        <v>21700</v>
      </c>
    </row>
    <row r="42" spans="1:7" ht="15.6" x14ac:dyDescent="0.3">
      <c r="A42" s="1" t="s">
        <v>87</v>
      </c>
      <c r="B42" s="1" t="s">
        <v>64</v>
      </c>
      <c r="C42" s="1" t="s">
        <v>10</v>
      </c>
      <c r="D42" s="1" t="s">
        <v>1</v>
      </c>
      <c r="E42" s="2" t="s">
        <v>28</v>
      </c>
      <c r="F42" s="1">
        <v>2023</v>
      </c>
      <c r="G42" s="7">
        <v>83500</v>
      </c>
    </row>
    <row r="43" spans="1:7" ht="15.6" x14ac:dyDescent="0.3">
      <c r="A43" s="1" t="s">
        <v>88</v>
      </c>
      <c r="B43" s="1" t="s">
        <v>65</v>
      </c>
      <c r="C43" s="1" t="s">
        <v>13</v>
      </c>
      <c r="D43" s="1" t="s">
        <v>4</v>
      </c>
      <c r="E43" s="2" t="s">
        <v>28</v>
      </c>
      <c r="F43" s="1">
        <v>2023</v>
      </c>
      <c r="G43" s="7">
        <v>9300</v>
      </c>
    </row>
    <row r="44" spans="1:7" ht="15.6" x14ac:dyDescent="0.3">
      <c r="A44" s="1" t="s">
        <v>89</v>
      </c>
      <c r="B44" s="1" t="s">
        <v>66</v>
      </c>
      <c r="C44" s="1" t="s">
        <v>11</v>
      </c>
      <c r="D44" s="1" t="s">
        <v>5</v>
      </c>
      <c r="E44" s="2" t="s">
        <v>28</v>
      </c>
      <c r="F44" s="1">
        <v>2023</v>
      </c>
      <c r="G44" s="7">
        <v>6400</v>
      </c>
    </row>
    <row r="45" spans="1:7" ht="15.6" x14ac:dyDescent="0.3">
      <c r="A45" s="1" t="s">
        <v>90</v>
      </c>
      <c r="B45" s="1" t="s">
        <v>67</v>
      </c>
      <c r="C45" s="1" t="s">
        <v>12</v>
      </c>
      <c r="D45" s="1" t="s">
        <v>6</v>
      </c>
      <c r="E45" s="2" t="s">
        <v>28</v>
      </c>
      <c r="F45" s="1">
        <v>2023</v>
      </c>
      <c r="G45" s="7">
        <v>15800</v>
      </c>
    </row>
    <row r="46" spans="1:7" ht="15.6" x14ac:dyDescent="0.3">
      <c r="A46" s="1" t="s">
        <v>91</v>
      </c>
      <c r="B46" s="1" t="s">
        <v>68</v>
      </c>
      <c r="C46" s="1" t="s">
        <v>10</v>
      </c>
      <c r="D46" s="1" t="s">
        <v>7</v>
      </c>
      <c r="E46" s="2" t="s">
        <v>28</v>
      </c>
      <c r="F46" s="1">
        <v>2023</v>
      </c>
      <c r="G46" s="7">
        <v>19600</v>
      </c>
    </row>
    <row r="47" spans="1:7" ht="15.6" x14ac:dyDescent="0.3">
      <c r="A47" s="1" t="s">
        <v>92</v>
      </c>
      <c r="B47" s="1" t="s">
        <v>34</v>
      </c>
      <c r="C47" s="1" t="s">
        <v>11</v>
      </c>
      <c r="D47" s="1" t="s">
        <v>1</v>
      </c>
      <c r="E47" s="2" t="s">
        <v>29</v>
      </c>
      <c r="F47" s="1">
        <v>2023</v>
      </c>
      <c r="G47" s="7">
        <v>82100</v>
      </c>
    </row>
    <row r="48" spans="1:7" ht="15.6" x14ac:dyDescent="0.3">
      <c r="A48" s="1" t="s">
        <v>93</v>
      </c>
      <c r="B48" s="1" t="s">
        <v>36</v>
      </c>
      <c r="C48" s="1" t="s">
        <v>13</v>
      </c>
      <c r="D48" s="1" t="s">
        <v>4</v>
      </c>
      <c r="E48" s="2" t="s">
        <v>29</v>
      </c>
      <c r="F48" s="1">
        <v>2023</v>
      </c>
      <c r="G48" s="7">
        <v>8000</v>
      </c>
    </row>
    <row r="49" spans="1:7" ht="15.6" x14ac:dyDescent="0.3">
      <c r="A49" s="1" t="s">
        <v>94</v>
      </c>
      <c r="B49" s="1" t="s">
        <v>38</v>
      </c>
      <c r="C49" s="1" t="s">
        <v>12</v>
      </c>
      <c r="D49" s="1" t="s">
        <v>5</v>
      </c>
      <c r="E49" s="2" t="s">
        <v>29</v>
      </c>
      <c r="F49" s="1">
        <v>2023</v>
      </c>
      <c r="G49" s="7">
        <v>6800</v>
      </c>
    </row>
    <row r="50" spans="1:7" ht="15.6" x14ac:dyDescent="0.3">
      <c r="A50" s="1" t="s">
        <v>95</v>
      </c>
      <c r="B50" s="1" t="s">
        <v>40</v>
      </c>
      <c r="C50" s="1" t="s">
        <v>10</v>
      </c>
      <c r="D50" s="1" t="s">
        <v>6</v>
      </c>
      <c r="E50" s="2" t="s">
        <v>29</v>
      </c>
      <c r="F50" s="1">
        <v>2023</v>
      </c>
      <c r="G50" s="7">
        <v>16200</v>
      </c>
    </row>
    <row r="51" spans="1:7" ht="15.6" x14ac:dyDescent="0.3">
      <c r="A51" s="1" t="s">
        <v>96</v>
      </c>
      <c r="B51" s="1" t="s">
        <v>42</v>
      </c>
      <c r="C51" s="1" t="s">
        <v>11</v>
      </c>
      <c r="D51" s="1" t="s">
        <v>7</v>
      </c>
      <c r="E51" s="2" t="s">
        <v>29</v>
      </c>
      <c r="F51" s="1">
        <v>2023</v>
      </c>
      <c r="G51" s="7">
        <v>20900</v>
      </c>
    </row>
    <row r="52" spans="1:7" ht="15.6" x14ac:dyDescent="0.3">
      <c r="A52" s="1" t="s">
        <v>97</v>
      </c>
      <c r="B52" s="1" t="s">
        <v>60</v>
      </c>
      <c r="C52" s="1" t="s">
        <v>10</v>
      </c>
      <c r="D52" s="1" t="s">
        <v>1</v>
      </c>
      <c r="E52" s="2" t="s">
        <v>30</v>
      </c>
      <c r="F52" s="1">
        <v>2023</v>
      </c>
      <c r="G52" s="7">
        <v>85900</v>
      </c>
    </row>
    <row r="53" spans="1:7" ht="15.6" x14ac:dyDescent="0.3">
      <c r="A53" s="1" t="s">
        <v>98</v>
      </c>
      <c r="B53" s="1" t="s">
        <v>0</v>
      </c>
      <c r="C53" s="1" t="s">
        <v>13</v>
      </c>
      <c r="D53" s="1" t="s">
        <v>4</v>
      </c>
      <c r="E53" s="2" t="s">
        <v>30</v>
      </c>
      <c r="F53" s="1">
        <v>2023</v>
      </c>
      <c r="G53" s="7">
        <v>8400</v>
      </c>
    </row>
    <row r="54" spans="1:7" ht="15.6" x14ac:dyDescent="0.3">
      <c r="A54" s="1" t="s">
        <v>99</v>
      </c>
      <c r="B54" s="1" t="s">
        <v>61</v>
      </c>
      <c r="C54" s="1" t="s">
        <v>12</v>
      </c>
      <c r="D54" s="1" t="s">
        <v>5</v>
      </c>
      <c r="E54" s="2" t="s">
        <v>30</v>
      </c>
      <c r="F54" s="1">
        <v>2023</v>
      </c>
      <c r="G54" s="7">
        <v>6300</v>
      </c>
    </row>
    <row r="55" spans="1:7" ht="15.6" x14ac:dyDescent="0.3">
      <c r="A55" s="1" t="s">
        <v>100</v>
      </c>
      <c r="B55" s="1" t="s">
        <v>62</v>
      </c>
      <c r="C55" s="1" t="s">
        <v>11</v>
      </c>
      <c r="D55" s="1" t="s">
        <v>6</v>
      </c>
      <c r="E55" s="2" t="s">
        <v>30</v>
      </c>
      <c r="F55" s="1">
        <v>2023</v>
      </c>
      <c r="G55" s="7">
        <v>17800</v>
      </c>
    </row>
    <row r="56" spans="1:7" ht="15.6" x14ac:dyDescent="0.3">
      <c r="A56" s="1" t="s">
        <v>101</v>
      </c>
      <c r="B56" s="1" t="s">
        <v>63</v>
      </c>
      <c r="C56" s="1" t="s">
        <v>10</v>
      </c>
      <c r="D56" s="1" t="s">
        <v>7</v>
      </c>
      <c r="E56" s="2" t="s">
        <v>30</v>
      </c>
      <c r="F56" s="1">
        <v>2023</v>
      </c>
      <c r="G56" s="7">
        <v>21500</v>
      </c>
    </row>
    <row r="57" spans="1:7" ht="15.6" x14ac:dyDescent="0.3">
      <c r="A57" s="1" t="s">
        <v>102</v>
      </c>
      <c r="B57" s="1" t="s">
        <v>64</v>
      </c>
      <c r="C57" s="1" t="s">
        <v>11</v>
      </c>
      <c r="D57" s="1" t="s">
        <v>1</v>
      </c>
      <c r="E57" s="2" t="s">
        <v>31</v>
      </c>
      <c r="F57" s="1">
        <v>2023</v>
      </c>
      <c r="G57" s="7">
        <v>88000</v>
      </c>
    </row>
    <row r="58" spans="1:7" ht="15.6" x14ac:dyDescent="0.3">
      <c r="A58" s="1" t="s">
        <v>103</v>
      </c>
      <c r="B58" s="1" t="s">
        <v>65</v>
      </c>
      <c r="C58" s="1" t="s">
        <v>13</v>
      </c>
      <c r="D58" s="1" t="s">
        <v>4</v>
      </c>
      <c r="E58" s="2" t="s">
        <v>31</v>
      </c>
      <c r="F58" s="1">
        <v>2023</v>
      </c>
      <c r="G58" s="7">
        <v>8700</v>
      </c>
    </row>
    <row r="59" spans="1:7" ht="15.6" x14ac:dyDescent="0.3">
      <c r="A59" s="1" t="s">
        <v>104</v>
      </c>
      <c r="B59" s="1" t="s">
        <v>66</v>
      </c>
      <c r="C59" s="1" t="s">
        <v>12</v>
      </c>
      <c r="D59" s="1" t="s">
        <v>5</v>
      </c>
      <c r="E59" s="2" t="s">
        <v>31</v>
      </c>
      <c r="F59" s="1">
        <v>2023</v>
      </c>
      <c r="G59" s="7">
        <v>5900</v>
      </c>
    </row>
    <row r="60" spans="1:7" ht="15.6" x14ac:dyDescent="0.3">
      <c r="A60" s="1" t="s">
        <v>105</v>
      </c>
      <c r="B60" s="1" t="s">
        <v>67</v>
      </c>
      <c r="C60" s="1" t="s">
        <v>10</v>
      </c>
      <c r="D60" s="1" t="s">
        <v>6</v>
      </c>
      <c r="E60" s="2" t="s">
        <v>31</v>
      </c>
      <c r="F60" s="1">
        <v>2023</v>
      </c>
      <c r="G60" s="7">
        <v>18600</v>
      </c>
    </row>
    <row r="61" spans="1:7" ht="15.6" x14ac:dyDescent="0.3">
      <c r="A61" s="1" t="s">
        <v>106</v>
      </c>
      <c r="B61" s="1" t="s">
        <v>68</v>
      </c>
      <c r="C61" s="1" t="s">
        <v>11</v>
      </c>
      <c r="D61" s="1" t="s">
        <v>7</v>
      </c>
      <c r="E61" s="2" t="s">
        <v>31</v>
      </c>
      <c r="F61" s="1">
        <v>2023</v>
      </c>
      <c r="G61" s="7">
        <v>19800</v>
      </c>
    </row>
    <row r="62" spans="1:7" ht="15.6" x14ac:dyDescent="0.3">
      <c r="A62" s="1" t="s">
        <v>107</v>
      </c>
      <c r="B62" s="1" t="s">
        <v>34</v>
      </c>
      <c r="C62" s="1" t="s">
        <v>13</v>
      </c>
      <c r="D62" s="1" t="s">
        <v>1</v>
      </c>
      <c r="E62" s="2" t="s">
        <v>15</v>
      </c>
      <c r="F62" s="1">
        <v>2024</v>
      </c>
      <c r="G62" s="7">
        <v>86500</v>
      </c>
    </row>
    <row r="63" spans="1:7" ht="15.6" x14ac:dyDescent="0.3">
      <c r="A63" s="1" t="s">
        <v>108</v>
      </c>
      <c r="B63" s="1" t="s">
        <v>36</v>
      </c>
      <c r="C63" s="1" t="s">
        <v>10</v>
      </c>
      <c r="D63" s="1" t="s">
        <v>4</v>
      </c>
      <c r="E63" s="2" t="s">
        <v>15</v>
      </c>
      <c r="F63" s="1">
        <v>2024</v>
      </c>
      <c r="G63" s="7">
        <v>8000</v>
      </c>
    </row>
    <row r="64" spans="1:7" ht="15.6" x14ac:dyDescent="0.3">
      <c r="A64" s="1" t="s">
        <v>109</v>
      </c>
      <c r="B64" s="1" t="s">
        <v>38</v>
      </c>
      <c r="C64" s="1" t="s">
        <v>12</v>
      </c>
      <c r="D64" s="1" t="s">
        <v>5</v>
      </c>
      <c r="E64" s="2" t="s">
        <v>15</v>
      </c>
      <c r="F64" s="1">
        <v>2024</v>
      </c>
      <c r="G64" s="7">
        <v>5700</v>
      </c>
    </row>
    <row r="65" spans="1:7" ht="15.6" x14ac:dyDescent="0.3">
      <c r="A65" s="1" t="s">
        <v>110</v>
      </c>
      <c r="B65" s="1" t="s">
        <v>40</v>
      </c>
      <c r="C65" s="1" t="s">
        <v>11</v>
      </c>
      <c r="D65" s="1" t="s">
        <v>6</v>
      </c>
      <c r="E65" s="2" t="s">
        <v>15</v>
      </c>
      <c r="F65" s="1">
        <v>2024</v>
      </c>
      <c r="G65" s="7">
        <v>15600</v>
      </c>
    </row>
    <row r="66" spans="1:7" ht="15.6" x14ac:dyDescent="0.3">
      <c r="A66" s="1" t="s">
        <v>111</v>
      </c>
      <c r="B66" s="1" t="s">
        <v>42</v>
      </c>
      <c r="C66" s="1" t="s">
        <v>10</v>
      </c>
      <c r="D66" s="1" t="s">
        <v>7</v>
      </c>
      <c r="E66" s="2" t="s">
        <v>15</v>
      </c>
      <c r="F66" s="1">
        <v>2024</v>
      </c>
      <c r="G66" s="7">
        <v>20400</v>
      </c>
    </row>
    <row r="67" spans="1:7" ht="15.6" x14ac:dyDescent="0.3">
      <c r="A67" s="1" t="s">
        <v>112</v>
      </c>
      <c r="B67" s="1" t="s">
        <v>60</v>
      </c>
      <c r="C67" s="1" t="s">
        <v>12</v>
      </c>
      <c r="D67" s="1" t="s">
        <v>1</v>
      </c>
      <c r="E67" s="2" t="s">
        <v>16</v>
      </c>
      <c r="F67" s="1">
        <v>2024</v>
      </c>
      <c r="G67" s="7">
        <v>82300</v>
      </c>
    </row>
    <row r="68" spans="1:7" ht="15.6" x14ac:dyDescent="0.3">
      <c r="A68" s="1" t="s">
        <v>113</v>
      </c>
      <c r="B68" s="1" t="s">
        <v>0</v>
      </c>
      <c r="C68" s="1" t="s">
        <v>13</v>
      </c>
      <c r="D68" s="1" t="s">
        <v>4</v>
      </c>
      <c r="E68" s="2" t="s">
        <v>16</v>
      </c>
      <c r="F68" s="1">
        <v>2024</v>
      </c>
      <c r="G68" s="7">
        <v>9000</v>
      </c>
    </row>
    <row r="69" spans="1:7" ht="15.6" x14ac:dyDescent="0.3">
      <c r="A69" s="1" t="s">
        <v>114</v>
      </c>
      <c r="B69" s="1" t="s">
        <v>61</v>
      </c>
      <c r="C69" s="1" t="s">
        <v>10</v>
      </c>
      <c r="D69" s="1" t="s">
        <v>5</v>
      </c>
      <c r="E69" s="2" t="s">
        <v>16</v>
      </c>
      <c r="F69" s="1">
        <v>2024</v>
      </c>
      <c r="G69" s="7">
        <v>6100</v>
      </c>
    </row>
    <row r="70" spans="1:7" ht="15.6" x14ac:dyDescent="0.3">
      <c r="A70" s="1" t="s">
        <v>115</v>
      </c>
      <c r="B70" s="1" t="s">
        <v>62</v>
      </c>
      <c r="C70" s="1" t="s">
        <v>11</v>
      </c>
      <c r="D70" s="1" t="s">
        <v>6</v>
      </c>
      <c r="E70" s="2" t="s">
        <v>16</v>
      </c>
      <c r="F70" s="1">
        <v>2024</v>
      </c>
      <c r="G70" s="7">
        <v>16700</v>
      </c>
    </row>
    <row r="71" spans="1:7" ht="15.6" x14ac:dyDescent="0.3">
      <c r="A71" s="1" t="s">
        <v>116</v>
      </c>
      <c r="B71" s="1" t="s">
        <v>63</v>
      </c>
      <c r="C71" s="1" t="s">
        <v>12</v>
      </c>
      <c r="D71" s="1" t="s">
        <v>7</v>
      </c>
      <c r="E71" s="2" t="s">
        <v>16</v>
      </c>
      <c r="F71" s="1">
        <v>2024</v>
      </c>
      <c r="G71" s="7">
        <v>20600</v>
      </c>
    </row>
    <row r="72" spans="1:7" ht="15.6" x14ac:dyDescent="0.3">
      <c r="A72" s="1" t="s">
        <v>117</v>
      </c>
      <c r="B72" s="1" t="s">
        <v>64</v>
      </c>
      <c r="C72" s="1" t="s">
        <v>13</v>
      </c>
      <c r="D72" s="1" t="s">
        <v>1</v>
      </c>
      <c r="E72" s="2" t="s">
        <v>17</v>
      </c>
      <c r="F72" s="1">
        <v>2024</v>
      </c>
      <c r="G72" s="7">
        <v>84900</v>
      </c>
    </row>
    <row r="73" spans="1:7" ht="15.6" x14ac:dyDescent="0.3">
      <c r="A73" s="1" t="s">
        <v>118</v>
      </c>
      <c r="B73" s="1" t="s">
        <v>65</v>
      </c>
      <c r="C73" s="1" t="s">
        <v>10</v>
      </c>
      <c r="D73" s="1" t="s">
        <v>4</v>
      </c>
      <c r="E73" s="2" t="s">
        <v>17</v>
      </c>
      <c r="F73" s="1">
        <v>2024</v>
      </c>
      <c r="G73" s="7">
        <v>8800</v>
      </c>
    </row>
    <row r="74" spans="1:7" ht="15.6" x14ac:dyDescent="0.3">
      <c r="A74" s="1" t="s">
        <v>119</v>
      </c>
      <c r="B74" s="1" t="s">
        <v>66</v>
      </c>
      <c r="C74" s="1" t="s">
        <v>12</v>
      </c>
      <c r="D74" s="1" t="s">
        <v>5</v>
      </c>
      <c r="E74" s="2" t="s">
        <v>17</v>
      </c>
      <c r="F74" s="1">
        <v>2024</v>
      </c>
      <c r="G74" s="7">
        <v>5900</v>
      </c>
    </row>
    <row r="75" spans="1:7" ht="15.6" x14ac:dyDescent="0.3">
      <c r="A75" s="1" t="s">
        <v>120</v>
      </c>
      <c r="B75" s="1" t="s">
        <v>67</v>
      </c>
      <c r="C75" s="1" t="s">
        <v>11</v>
      </c>
      <c r="D75" s="1" t="s">
        <v>6</v>
      </c>
      <c r="E75" s="2" t="s">
        <v>17</v>
      </c>
      <c r="F75" s="1">
        <v>2024</v>
      </c>
      <c r="G75" s="7">
        <v>17400</v>
      </c>
    </row>
    <row r="76" spans="1:7" ht="15.6" x14ac:dyDescent="0.3">
      <c r="A76" s="1" t="s">
        <v>121</v>
      </c>
      <c r="B76" s="1" t="s">
        <v>68</v>
      </c>
      <c r="C76" s="1" t="s">
        <v>10</v>
      </c>
      <c r="D76" s="1" t="s">
        <v>7</v>
      </c>
      <c r="E76" s="2" t="s">
        <v>17</v>
      </c>
      <c r="F76" s="1">
        <v>2024</v>
      </c>
      <c r="G76" s="7">
        <v>21200</v>
      </c>
    </row>
    <row r="77" spans="1:7" ht="15.6" x14ac:dyDescent="0.3">
      <c r="A77" s="1" t="s">
        <v>122</v>
      </c>
      <c r="B77" s="1" t="s">
        <v>34</v>
      </c>
      <c r="C77" s="1" t="s">
        <v>11</v>
      </c>
      <c r="D77" s="1" t="s">
        <v>1</v>
      </c>
      <c r="E77" s="2" t="s">
        <v>18</v>
      </c>
      <c r="F77" s="1">
        <v>2024</v>
      </c>
      <c r="G77" s="7">
        <v>88300</v>
      </c>
    </row>
    <row r="78" spans="1:7" ht="15.6" x14ac:dyDescent="0.3">
      <c r="A78" s="1" t="s">
        <v>123</v>
      </c>
      <c r="B78" s="1" t="s">
        <v>36</v>
      </c>
      <c r="C78" s="1" t="s">
        <v>13</v>
      </c>
      <c r="D78" s="1" t="s">
        <v>4</v>
      </c>
      <c r="E78" s="2" t="s">
        <v>18</v>
      </c>
      <c r="F78" s="1">
        <v>2024</v>
      </c>
      <c r="G78" s="7">
        <v>8600</v>
      </c>
    </row>
    <row r="79" spans="1:7" ht="15.6" x14ac:dyDescent="0.3">
      <c r="A79" s="1" t="s">
        <v>124</v>
      </c>
      <c r="B79" s="1" t="s">
        <v>38</v>
      </c>
      <c r="C79" s="1" t="s">
        <v>12</v>
      </c>
      <c r="D79" s="1" t="s">
        <v>5</v>
      </c>
      <c r="E79" s="2" t="s">
        <v>18</v>
      </c>
      <c r="F79" s="1">
        <v>2024</v>
      </c>
      <c r="G79" s="7">
        <v>6000</v>
      </c>
    </row>
    <row r="80" spans="1:7" ht="15.6" x14ac:dyDescent="0.3">
      <c r="A80" s="1" t="s">
        <v>125</v>
      </c>
      <c r="B80" s="1" t="s">
        <v>40</v>
      </c>
      <c r="C80" s="1" t="s">
        <v>10</v>
      </c>
      <c r="D80" s="1" t="s">
        <v>6</v>
      </c>
      <c r="E80" s="2" t="s">
        <v>18</v>
      </c>
      <c r="F80" s="1">
        <v>2024</v>
      </c>
      <c r="G80" s="7">
        <v>18300</v>
      </c>
    </row>
    <row r="81" spans="1:7" ht="15.6" x14ac:dyDescent="0.3">
      <c r="A81" s="1" t="s">
        <v>126</v>
      </c>
      <c r="B81" s="1" t="s">
        <v>42</v>
      </c>
      <c r="C81" s="1" t="s">
        <v>11</v>
      </c>
      <c r="D81" s="1" t="s">
        <v>7</v>
      </c>
      <c r="E81" s="2" t="s">
        <v>18</v>
      </c>
      <c r="F81" s="1">
        <v>2024</v>
      </c>
      <c r="G81" s="7">
        <v>19400</v>
      </c>
    </row>
    <row r="82" spans="1:7" ht="15.6" x14ac:dyDescent="0.3">
      <c r="A82" s="1" t="s">
        <v>127</v>
      </c>
      <c r="B82" s="1" t="s">
        <v>60</v>
      </c>
      <c r="C82" s="1" t="s">
        <v>13</v>
      </c>
      <c r="D82" s="1" t="s">
        <v>1</v>
      </c>
      <c r="E82" s="2" t="s">
        <v>19</v>
      </c>
      <c r="F82" s="1">
        <v>2024</v>
      </c>
      <c r="G82" s="7">
        <v>83700</v>
      </c>
    </row>
    <row r="83" spans="1:7" ht="15.6" x14ac:dyDescent="0.3">
      <c r="A83" s="1" t="s">
        <v>128</v>
      </c>
      <c r="B83" s="1" t="s">
        <v>0</v>
      </c>
      <c r="C83" s="1" t="s">
        <v>10</v>
      </c>
      <c r="D83" s="1" t="s">
        <v>4</v>
      </c>
      <c r="E83" s="2" t="s">
        <v>19</v>
      </c>
      <c r="F83" s="1">
        <v>2024</v>
      </c>
      <c r="G83" s="7">
        <v>7900</v>
      </c>
    </row>
    <row r="84" spans="1:7" ht="15.6" x14ac:dyDescent="0.3">
      <c r="A84" s="1" t="s">
        <v>129</v>
      </c>
      <c r="B84" s="1" t="s">
        <v>61</v>
      </c>
      <c r="C84" s="1" t="s">
        <v>12</v>
      </c>
      <c r="D84" s="1" t="s">
        <v>5</v>
      </c>
      <c r="E84" s="2" t="s">
        <v>19</v>
      </c>
      <c r="F84" s="1">
        <v>2024</v>
      </c>
      <c r="G84" s="7">
        <v>6500</v>
      </c>
    </row>
    <row r="85" spans="1:7" ht="15.6" x14ac:dyDescent="0.3">
      <c r="A85" s="1" t="s">
        <v>130</v>
      </c>
      <c r="B85" s="1" t="s">
        <v>62</v>
      </c>
      <c r="C85" s="1" t="s">
        <v>11</v>
      </c>
      <c r="D85" s="1" t="s">
        <v>6</v>
      </c>
      <c r="E85" s="2" t="s">
        <v>19</v>
      </c>
      <c r="F85" s="1">
        <v>2024</v>
      </c>
      <c r="G85" s="7">
        <v>15700</v>
      </c>
    </row>
    <row r="86" spans="1:7" ht="15.6" x14ac:dyDescent="0.3">
      <c r="A86" s="1" t="s">
        <v>131</v>
      </c>
      <c r="B86" s="1" t="s">
        <v>63</v>
      </c>
      <c r="C86" s="1" t="s">
        <v>10</v>
      </c>
      <c r="D86" s="1" t="s">
        <v>7</v>
      </c>
      <c r="E86" s="2" t="s">
        <v>19</v>
      </c>
      <c r="F86" s="1">
        <v>2024</v>
      </c>
      <c r="G86" s="7">
        <v>20800</v>
      </c>
    </row>
    <row r="87" spans="1:7" ht="15.6" x14ac:dyDescent="0.3">
      <c r="A87" s="1" t="s">
        <v>132</v>
      </c>
      <c r="B87" s="1" t="s">
        <v>64</v>
      </c>
      <c r="C87" s="1" t="s">
        <v>12</v>
      </c>
      <c r="D87" s="1" t="s">
        <v>1</v>
      </c>
      <c r="E87" s="2" t="s">
        <v>20</v>
      </c>
      <c r="F87" s="1">
        <v>2024</v>
      </c>
      <c r="G87" s="7">
        <v>82100</v>
      </c>
    </row>
    <row r="88" spans="1:7" ht="15.6" x14ac:dyDescent="0.3">
      <c r="A88" s="1" t="s">
        <v>133</v>
      </c>
      <c r="B88" s="1" t="s">
        <v>65</v>
      </c>
      <c r="C88" s="1" t="s">
        <v>13</v>
      </c>
      <c r="D88" s="1" t="s">
        <v>4</v>
      </c>
      <c r="E88" s="2" t="s">
        <v>20</v>
      </c>
      <c r="F88" s="1">
        <v>2024</v>
      </c>
      <c r="G88" s="7">
        <v>9100</v>
      </c>
    </row>
    <row r="89" spans="1:7" ht="15.6" x14ac:dyDescent="0.3">
      <c r="A89" s="1" t="s">
        <v>134</v>
      </c>
      <c r="B89" s="1" t="s">
        <v>66</v>
      </c>
      <c r="C89" s="1" t="s">
        <v>10</v>
      </c>
      <c r="D89" s="1" t="s">
        <v>5</v>
      </c>
      <c r="E89" s="2" t="s">
        <v>20</v>
      </c>
      <c r="F89" s="1">
        <v>2024</v>
      </c>
      <c r="G89" s="7">
        <v>5800</v>
      </c>
    </row>
    <row r="90" spans="1:7" ht="15.6" x14ac:dyDescent="0.3">
      <c r="A90" s="1" t="s">
        <v>135</v>
      </c>
      <c r="B90" s="1" t="s">
        <v>67</v>
      </c>
      <c r="C90" s="1" t="s">
        <v>11</v>
      </c>
      <c r="D90" s="1" t="s">
        <v>6</v>
      </c>
      <c r="E90" s="2" t="s">
        <v>20</v>
      </c>
      <c r="F90" s="1">
        <v>2024</v>
      </c>
      <c r="G90" s="7">
        <v>16200</v>
      </c>
    </row>
    <row r="91" spans="1:7" ht="15.6" x14ac:dyDescent="0.3">
      <c r="A91" s="1" t="s">
        <v>136</v>
      </c>
      <c r="B91" s="1" t="s">
        <v>68</v>
      </c>
      <c r="C91" s="1" t="s">
        <v>12</v>
      </c>
      <c r="D91" s="1" t="s">
        <v>7</v>
      </c>
      <c r="E91" s="2" t="s">
        <v>20</v>
      </c>
      <c r="F91" s="1">
        <v>2024</v>
      </c>
      <c r="G91" s="7">
        <v>20500</v>
      </c>
    </row>
    <row r="92" spans="1:7" ht="15.6" x14ac:dyDescent="0.3">
      <c r="A92" s="1" t="s">
        <v>137</v>
      </c>
      <c r="B92" s="1" t="s">
        <v>34</v>
      </c>
      <c r="C92" s="1" t="s">
        <v>11</v>
      </c>
      <c r="D92" s="1" t="s">
        <v>1</v>
      </c>
      <c r="E92" s="2" t="s">
        <v>21</v>
      </c>
      <c r="F92" s="1">
        <v>2024</v>
      </c>
      <c r="G92" s="7">
        <v>85400</v>
      </c>
    </row>
    <row r="93" spans="1:7" ht="15.6" x14ac:dyDescent="0.3">
      <c r="A93" s="1" t="s">
        <v>138</v>
      </c>
      <c r="B93" s="1" t="s">
        <v>36</v>
      </c>
      <c r="C93" s="1" t="s">
        <v>13</v>
      </c>
      <c r="D93" s="1" t="s">
        <v>4</v>
      </c>
      <c r="E93" s="2" t="s">
        <v>21</v>
      </c>
      <c r="F93" s="1">
        <v>2024</v>
      </c>
      <c r="G93" s="7">
        <v>8300</v>
      </c>
    </row>
    <row r="94" spans="1:7" ht="15.6" x14ac:dyDescent="0.3">
      <c r="A94" s="1" t="s">
        <v>139</v>
      </c>
      <c r="B94" s="1" t="s">
        <v>38</v>
      </c>
      <c r="C94" s="1" t="s">
        <v>10</v>
      </c>
      <c r="D94" s="1" t="s">
        <v>5</v>
      </c>
      <c r="E94" s="2" t="s">
        <v>21</v>
      </c>
      <c r="F94" s="1">
        <v>2024</v>
      </c>
      <c r="G94" s="7">
        <v>6000</v>
      </c>
    </row>
    <row r="95" spans="1:7" ht="15.6" x14ac:dyDescent="0.3">
      <c r="A95" s="1" t="s">
        <v>140</v>
      </c>
      <c r="B95" s="1" t="s">
        <v>40</v>
      </c>
      <c r="C95" s="1" t="s">
        <v>12</v>
      </c>
      <c r="D95" s="1" t="s">
        <v>6</v>
      </c>
      <c r="E95" s="2" t="s">
        <v>21</v>
      </c>
      <c r="F95" s="1">
        <v>2024</v>
      </c>
      <c r="G95" s="7">
        <v>18000</v>
      </c>
    </row>
    <row r="96" spans="1:7" ht="15.6" x14ac:dyDescent="0.3">
      <c r="A96" s="1" t="s">
        <v>141</v>
      </c>
      <c r="B96" s="1" t="s">
        <v>42</v>
      </c>
      <c r="C96" s="1" t="s">
        <v>11</v>
      </c>
      <c r="D96" s="1" t="s">
        <v>7</v>
      </c>
      <c r="E96" s="2" t="s">
        <v>21</v>
      </c>
      <c r="F96" s="1">
        <v>2024</v>
      </c>
      <c r="G96" s="7">
        <v>19900</v>
      </c>
    </row>
    <row r="97" spans="1:7" ht="15.6" x14ac:dyDescent="0.3">
      <c r="A97" s="1" t="s">
        <v>142</v>
      </c>
      <c r="B97" s="1" t="s">
        <v>60</v>
      </c>
      <c r="C97" s="1" t="s">
        <v>10</v>
      </c>
      <c r="D97" s="1" t="s">
        <v>1</v>
      </c>
      <c r="E97" s="2" t="s">
        <v>22</v>
      </c>
      <c r="F97" s="1">
        <v>2024</v>
      </c>
      <c r="G97" s="7">
        <v>87700</v>
      </c>
    </row>
    <row r="98" spans="1:7" ht="15.6" x14ac:dyDescent="0.3">
      <c r="A98" s="1" t="s">
        <v>143</v>
      </c>
      <c r="B98" s="1" t="s">
        <v>0</v>
      </c>
      <c r="C98" s="1" t="s">
        <v>13</v>
      </c>
      <c r="D98" s="1" t="s">
        <v>4</v>
      </c>
      <c r="E98" s="2" t="s">
        <v>22</v>
      </c>
      <c r="F98" s="1">
        <v>2024</v>
      </c>
      <c r="G98" s="7">
        <v>9000</v>
      </c>
    </row>
    <row r="99" spans="1:7" ht="15.6" x14ac:dyDescent="0.3">
      <c r="A99" s="1" t="s">
        <v>144</v>
      </c>
      <c r="B99" s="1" t="s">
        <v>61</v>
      </c>
      <c r="C99" s="1" t="s">
        <v>12</v>
      </c>
      <c r="D99" s="1" t="s">
        <v>5</v>
      </c>
      <c r="E99" s="2" t="s">
        <v>22</v>
      </c>
      <c r="F99" s="1">
        <v>2024</v>
      </c>
      <c r="G99" s="7">
        <v>6400</v>
      </c>
    </row>
    <row r="100" spans="1:7" ht="15.6" x14ac:dyDescent="0.3">
      <c r="A100" s="1" t="s">
        <v>145</v>
      </c>
      <c r="B100" s="1" t="s">
        <v>62</v>
      </c>
      <c r="C100" s="1" t="s">
        <v>11</v>
      </c>
      <c r="D100" s="1" t="s">
        <v>6</v>
      </c>
      <c r="E100" s="2" t="s">
        <v>22</v>
      </c>
      <c r="F100" s="1">
        <v>2024</v>
      </c>
      <c r="G100" s="7">
        <v>17200</v>
      </c>
    </row>
    <row r="101" spans="1:7" ht="15.6" x14ac:dyDescent="0.3">
      <c r="A101" s="1" t="s">
        <v>146</v>
      </c>
      <c r="B101" s="1" t="s">
        <v>63</v>
      </c>
      <c r="C101" s="1" t="s">
        <v>10</v>
      </c>
      <c r="D101" s="1" t="s">
        <v>7</v>
      </c>
      <c r="E101" s="2" t="s">
        <v>22</v>
      </c>
      <c r="F101" s="1">
        <v>2024</v>
      </c>
      <c r="G101" s="7">
        <v>21300</v>
      </c>
    </row>
  </sheetData>
  <autoFilter ref="B1:G101" xr:uid="{3339E876-6F28-4452-B4C4-D08D5A9AF4F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DCC0-009A-4C64-A285-7E53977AEC85}">
  <sheetPr>
    <tabColor rgb="FFFF0000"/>
  </sheetPr>
  <dimension ref="A3:P42"/>
  <sheetViews>
    <sheetView workbookViewId="0">
      <selection activeCell="G35" sqref="G35"/>
    </sheetView>
  </sheetViews>
  <sheetFormatPr defaultRowHeight="14.4" x14ac:dyDescent="0.3"/>
  <cols>
    <col min="1" max="1" width="8.88671875" bestFit="1" customWidth="1"/>
    <col min="2" max="2" width="18.5546875" bestFit="1" customWidth="1"/>
    <col min="8" max="8" width="12.44140625" bestFit="1" customWidth="1"/>
    <col min="9" max="9" width="18.5546875" bestFit="1" customWidth="1"/>
    <col min="15" max="15" width="12.44140625" bestFit="1" customWidth="1"/>
    <col min="16" max="16" width="18.5546875" bestFit="1" customWidth="1"/>
  </cols>
  <sheetData>
    <row r="3" spans="1:16" x14ac:dyDescent="0.3">
      <c r="A3" s="8" t="s">
        <v>24</v>
      </c>
      <c r="B3" t="s">
        <v>26</v>
      </c>
      <c r="H3" s="8" t="s">
        <v>24</v>
      </c>
      <c r="I3" t="s">
        <v>26</v>
      </c>
      <c r="O3" s="8" t="s">
        <v>24</v>
      </c>
      <c r="P3" t="s">
        <v>26</v>
      </c>
    </row>
    <row r="4" spans="1:16" x14ac:dyDescent="0.3">
      <c r="A4" s="9" t="s">
        <v>10</v>
      </c>
      <c r="B4" s="6">
        <v>764400</v>
      </c>
      <c r="H4" s="9" t="s">
        <v>4</v>
      </c>
      <c r="I4" s="6">
        <v>40200</v>
      </c>
      <c r="O4" s="9" t="s">
        <v>15</v>
      </c>
      <c r="P4" s="6">
        <v>35800</v>
      </c>
    </row>
    <row r="5" spans="1:16" x14ac:dyDescent="0.3">
      <c r="A5" s="9" t="s">
        <v>11</v>
      </c>
      <c r="B5" s="6">
        <v>934600</v>
      </c>
      <c r="H5" s="9" t="s">
        <v>1</v>
      </c>
      <c r="I5" s="6">
        <v>420000</v>
      </c>
      <c r="O5" s="9" t="s">
        <v>16</v>
      </c>
      <c r="P5" s="6">
        <v>105400</v>
      </c>
    </row>
    <row r="6" spans="1:16" x14ac:dyDescent="0.3">
      <c r="A6" s="9" t="s">
        <v>13</v>
      </c>
      <c r="B6" s="6">
        <v>475000</v>
      </c>
      <c r="H6" s="9" t="s">
        <v>6</v>
      </c>
      <c r="I6" s="6">
        <v>87900</v>
      </c>
      <c r="O6" s="9" t="s">
        <v>17</v>
      </c>
      <c r="P6" s="6">
        <v>47600</v>
      </c>
    </row>
    <row r="7" spans="1:16" x14ac:dyDescent="0.3">
      <c r="A7" s="9" t="s">
        <v>12</v>
      </c>
      <c r="B7" s="6">
        <v>549000</v>
      </c>
      <c r="H7" s="9" t="s">
        <v>5</v>
      </c>
      <c r="I7" s="6">
        <v>29900</v>
      </c>
      <c r="O7" s="9" t="s">
        <v>18</v>
      </c>
      <c r="P7" s="6">
        <v>24100</v>
      </c>
    </row>
    <row r="8" spans="1:16" x14ac:dyDescent="0.3">
      <c r="A8" s="9" t="s">
        <v>25</v>
      </c>
      <c r="B8" s="6">
        <v>2723000</v>
      </c>
      <c r="H8" s="9" t="s">
        <v>7</v>
      </c>
      <c r="I8" s="6">
        <v>186400</v>
      </c>
      <c r="O8" s="9" t="s">
        <v>19</v>
      </c>
      <c r="P8" s="6">
        <v>133400</v>
      </c>
    </row>
    <row r="9" spans="1:16" x14ac:dyDescent="0.3">
      <c r="H9" s="9" t="s">
        <v>25</v>
      </c>
      <c r="I9" s="6">
        <v>764400</v>
      </c>
      <c r="O9" s="9" t="s">
        <v>20</v>
      </c>
      <c r="P9" s="6">
        <v>23000</v>
      </c>
    </row>
    <row r="10" spans="1:16" x14ac:dyDescent="0.3">
      <c r="O10" s="9" t="s">
        <v>21</v>
      </c>
      <c r="P10" s="6">
        <v>34600</v>
      </c>
    </row>
    <row r="11" spans="1:16" x14ac:dyDescent="0.3">
      <c r="O11" s="9" t="s">
        <v>22</v>
      </c>
      <c r="P11" s="6">
        <v>115200</v>
      </c>
    </row>
    <row r="12" spans="1:16" x14ac:dyDescent="0.3">
      <c r="O12" s="9" t="s">
        <v>28</v>
      </c>
      <c r="P12" s="6">
        <v>103100</v>
      </c>
    </row>
    <row r="13" spans="1:16" x14ac:dyDescent="0.3">
      <c r="O13" s="9" t="s">
        <v>29</v>
      </c>
      <c r="P13" s="6">
        <v>16200</v>
      </c>
    </row>
    <row r="14" spans="1:16" x14ac:dyDescent="0.3">
      <c r="O14" s="9" t="s">
        <v>30</v>
      </c>
      <c r="P14" s="6">
        <v>107400</v>
      </c>
    </row>
    <row r="15" spans="1:16" x14ac:dyDescent="0.3">
      <c r="O15" s="9" t="s">
        <v>31</v>
      </c>
      <c r="P15" s="6">
        <v>18600</v>
      </c>
    </row>
    <row r="16" spans="1:16" x14ac:dyDescent="0.3">
      <c r="O16" s="9" t="s">
        <v>25</v>
      </c>
      <c r="P16" s="6">
        <v>764400</v>
      </c>
    </row>
    <row r="29" spans="1:1" x14ac:dyDescent="0.3">
      <c r="A29" t="s">
        <v>3</v>
      </c>
    </row>
    <row r="30" spans="1:1" x14ac:dyDescent="0.3">
      <c r="A30" s="6">
        <v>764400</v>
      </c>
    </row>
    <row r="32" spans="1:1" x14ac:dyDescent="0.3">
      <c r="A32" t="s">
        <v>147</v>
      </c>
    </row>
    <row r="33" spans="1:1" x14ac:dyDescent="0.3">
      <c r="A33" s="6">
        <v>26358.620689655174</v>
      </c>
    </row>
    <row r="35" spans="1:1" x14ac:dyDescent="0.3">
      <c r="A35" t="s">
        <v>148</v>
      </c>
    </row>
    <row r="36" spans="1:1" x14ac:dyDescent="0.3">
      <c r="A36" s="6">
        <v>87700</v>
      </c>
    </row>
    <row r="38" spans="1:1" x14ac:dyDescent="0.3">
      <c r="A38" t="s">
        <v>149</v>
      </c>
    </row>
    <row r="39" spans="1:1" x14ac:dyDescent="0.3">
      <c r="A39" s="6">
        <v>5800</v>
      </c>
    </row>
    <row r="41" spans="1:1" x14ac:dyDescent="0.3">
      <c r="A41" t="s">
        <v>150</v>
      </c>
    </row>
    <row r="42" spans="1:1" x14ac:dyDescent="0.3">
      <c r="A42" s="10">
        <v>29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E68AB-653C-40BB-B430-003B487CEF92}">
  <sheetPr>
    <tabColor rgb="FFFF0000"/>
  </sheetPr>
  <dimension ref="A1:AM91"/>
  <sheetViews>
    <sheetView tabSelected="1" zoomScale="97" zoomScaleNormal="115" workbookViewId="0">
      <selection activeCell="S28" sqref="S28"/>
    </sheetView>
  </sheetViews>
  <sheetFormatPr defaultRowHeight="14.4" x14ac:dyDescent="0.3"/>
  <cols>
    <col min="1" max="1" width="13.44140625" bestFit="1" customWidth="1"/>
    <col min="2" max="2" width="20.33203125" bestFit="1" customWidth="1"/>
    <col min="20" max="22" width="0" hidden="1" customWidth="1"/>
  </cols>
  <sheetData>
    <row r="1" spans="1:39"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spans="1:39"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r="3" spans="1:39"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row>
    <row r="4" spans="1:39" x14ac:dyDescent="0.3">
      <c r="A4" s="3"/>
      <c r="B4" s="3"/>
      <c r="C4" s="3"/>
      <c r="D4" s="3"/>
      <c r="E4" s="3"/>
      <c r="F4" s="3"/>
      <c r="G4" s="3"/>
      <c r="H4" s="3"/>
      <c r="I4" s="3"/>
      <c r="J4" s="3"/>
      <c r="K4" s="3"/>
      <c r="L4" s="3"/>
      <c r="M4" s="3"/>
      <c r="N4" s="3"/>
      <c r="O4" s="3"/>
      <c r="P4" s="3"/>
      <c r="Q4" s="3"/>
      <c r="R4" s="3"/>
      <c r="S4" s="3"/>
      <c r="T4" s="3"/>
      <c r="U4" s="3" t="str">
        <f>"₹ "&amp;TEXT('Pivot Table'!A30,"#,##0")</f>
        <v>₹ 764,400</v>
      </c>
      <c r="V4" s="3"/>
      <c r="W4" s="3"/>
      <c r="X4" s="3"/>
      <c r="Y4" s="3"/>
      <c r="Z4" s="3"/>
      <c r="AA4" s="3"/>
      <c r="AB4" s="3"/>
      <c r="AC4" s="3"/>
      <c r="AD4" s="3"/>
      <c r="AE4" s="3"/>
      <c r="AF4" s="3"/>
      <c r="AG4" s="3"/>
      <c r="AH4" s="3"/>
      <c r="AI4" s="3"/>
      <c r="AJ4" s="3"/>
      <c r="AK4" s="3"/>
      <c r="AL4" s="3"/>
      <c r="AM4" s="3"/>
    </row>
    <row r="5" spans="1:39"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row>
    <row r="6" spans="1:39"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row>
    <row r="7" spans="1:39" x14ac:dyDescent="0.3">
      <c r="A7" s="3"/>
      <c r="B7" s="3"/>
      <c r="C7" s="3"/>
      <c r="D7" s="3"/>
      <c r="E7" s="3"/>
      <c r="F7" s="3"/>
      <c r="G7" s="3"/>
      <c r="H7" s="3"/>
      <c r="I7" s="3"/>
      <c r="J7" s="3"/>
      <c r="K7" s="3"/>
      <c r="L7" s="3"/>
      <c r="M7" s="3"/>
      <c r="N7" s="3"/>
      <c r="O7" s="3"/>
      <c r="P7" s="3"/>
      <c r="Q7" s="3"/>
      <c r="R7" s="3"/>
      <c r="S7" s="3"/>
      <c r="T7" s="3"/>
      <c r="U7" s="3" t="str">
        <f>"₹ "&amp;TEXT('Pivot Table'!A33,"#,##0")</f>
        <v>₹ 26,359</v>
      </c>
      <c r="V7" s="3"/>
      <c r="W7" s="3"/>
      <c r="X7" s="3"/>
      <c r="Y7" s="3"/>
      <c r="Z7" s="3"/>
      <c r="AA7" s="3"/>
      <c r="AB7" s="3"/>
      <c r="AC7" s="3"/>
      <c r="AD7" s="3"/>
      <c r="AE7" s="3"/>
      <c r="AF7" s="3"/>
      <c r="AG7" s="3"/>
      <c r="AH7" s="3"/>
      <c r="AI7" s="3"/>
      <c r="AJ7" s="3"/>
      <c r="AK7" s="3"/>
      <c r="AL7" s="3"/>
      <c r="AM7" s="3"/>
    </row>
    <row r="8" spans="1:39"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x14ac:dyDescent="0.3">
      <c r="A9" s="3"/>
      <c r="B9" s="3"/>
      <c r="C9" s="3"/>
      <c r="D9" s="3"/>
      <c r="E9" s="3"/>
      <c r="F9" s="3"/>
      <c r="G9" s="3"/>
      <c r="H9" s="3"/>
      <c r="I9" s="3"/>
      <c r="J9" s="3"/>
      <c r="K9" s="3"/>
      <c r="L9" s="3"/>
      <c r="M9" s="3"/>
      <c r="N9" s="3"/>
      <c r="O9" s="3"/>
      <c r="P9" s="3"/>
      <c r="Q9" s="3"/>
      <c r="R9" s="3"/>
      <c r="S9" s="3"/>
      <c r="T9" s="3"/>
      <c r="U9" s="3" t="str">
        <f>"₹ "&amp;TEXT('Pivot Table'!A36,"#,##0")</f>
        <v>₹ 87,700</v>
      </c>
      <c r="V9" s="3"/>
      <c r="W9" s="3"/>
      <c r="X9" s="3"/>
      <c r="Y9" s="3"/>
      <c r="Z9" s="3"/>
      <c r="AA9" s="3"/>
      <c r="AB9" s="3"/>
      <c r="AC9" s="3"/>
      <c r="AD9" s="3"/>
      <c r="AE9" s="3"/>
      <c r="AF9" s="3"/>
      <c r="AG9" s="3"/>
      <c r="AH9" s="3"/>
      <c r="AI9" s="3"/>
      <c r="AJ9" s="3"/>
      <c r="AK9" s="3"/>
      <c r="AL9" s="3"/>
      <c r="AM9" s="3"/>
    </row>
    <row r="10" spans="1:39"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x14ac:dyDescent="0.3">
      <c r="A11" s="3"/>
      <c r="B11" s="3"/>
      <c r="C11" s="3"/>
      <c r="D11" s="3"/>
      <c r="E11" s="3"/>
      <c r="F11" s="3"/>
      <c r="G11" s="3"/>
      <c r="H11" s="3"/>
      <c r="I11" s="3"/>
      <c r="J11" s="3"/>
      <c r="K11" s="3"/>
      <c r="L11" s="3"/>
      <c r="M11" s="3"/>
      <c r="N11" s="3"/>
      <c r="O11" s="3"/>
      <c r="P11" s="3"/>
      <c r="Q11" s="3"/>
      <c r="R11" s="3"/>
      <c r="S11" s="3"/>
      <c r="T11" s="3"/>
      <c r="U11" s="3" t="str">
        <f>"₹ "&amp;TEXT('Pivot Table'!A39,"#,##0")</f>
        <v>₹ 5,800</v>
      </c>
      <c r="V11" s="3"/>
      <c r="W11" s="3"/>
      <c r="X11" s="3"/>
      <c r="Y11" s="3"/>
      <c r="Z11" s="3"/>
      <c r="AA11" s="3"/>
      <c r="AB11" s="3"/>
      <c r="AC11" s="3"/>
      <c r="AD11" s="3"/>
      <c r="AE11" s="3"/>
      <c r="AF11" s="3"/>
      <c r="AG11" s="3"/>
      <c r="AH11" s="3"/>
      <c r="AI11" s="3"/>
      <c r="AJ11" s="3"/>
      <c r="AK11" s="3"/>
      <c r="AL11" s="3"/>
      <c r="AM11" s="3"/>
    </row>
    <row r="12" spans="1:39"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row>
    <row r="13" spans="1:39"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row>
    <row r="14" spans="1:39"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row>
    <row r="15" spans="1:39"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row>
    <row r="16" spans="1:39"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r="17" spans="1:39"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row>
    <row r="18" spans="1:39"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spans="1:39"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row>
    <row r="20" spans="1:39"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row>
    <row r="21" spans="1:39"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row>
    <row r="22" spans="1:39"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row>
    <row r="23" spans="1:39"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row>
    <row r="24" spans="1:39"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row>
    <row r="25" spans="1:39"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spans="1:39"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row>
    <row r="28" spans="1:39"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r="29" spans="1:39"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row>
    <row r="30" spans="1:39"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row>
    <row r="31" spans="1:39" x14ac:dyDescent="0.3">
      <c r="A31" s="3"/>
      <c r="B31" s="3"/>
      <c r="C31" s="3"/>
      <c r="D31" s="3"/>
      <c r="E31" s="3"/>
      <c r="F31" s="3"/>
      <c r="G31" s="3"/>
      <c r="H31" s="3"/>
      <c r="I31" s="3"/>
      <c r="J31" s="3"/>
      <c r="K31" s="3"/>
      <c r="L31" s="3"/>
      <c r="M31" s="3"/>
      <c r="N31" s="3"/>
      <c r="O31" s="3"/>
      <c r="P31" s="3"/>
      <c r="Q31" s="3"/>
      <c r="R31" s="3"/>
      <c r="S31" s="3"/>
      <c r="T31" s="3"/>
      <c r="V31" s="3"/>
      <c r="W31" s="3"/>
      <c r="X31" s="3"/>
      <c r="Y31" s="3"/>
      <c r="Z31" s="3"/>
      <c r="AA31" s="3"/>
      <c r="AB31" s="3"/>
      <c r="AC31" s="3"/>
      <c r="AD31" s="3"/>
      <c r="AE31" s="3"/>
      <c r="AF31" s="3"/>
      <c r="AG31" s="3"/>
      <c r="AH31" s="3"/>
      <c r="AI31" s="3"/>
      <c r="AJ31" s="3"/>
      <c r="AK31" s="3"/>
      <c r="AL31" s="3"/>
      <c r="AM31" s="3"/>
    </row>
    <row r="32" spans="1:39"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r="33" spans="1:39"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r="34" spans="1:39"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spans="1:39"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r="36" spans="1:39"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spans="1:39"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spans="1:39" x14ac:dyDescent="0.3">
      <c r="A38" s="3"/>
      <c r="B38" s="3"/>
      <c r="C38" s="3"/>
      <c r="D38" s="3"/>
      <c r="E38" s="3"/>
      <c r="F38" s="3"/>
      <c r="G38" s="3"/>
      <c r="H38" s="3"/>
      <c r="I38" s="3"/>
      <c r="J38" s="3"/>
      <c r="K38" s="3"/>
      <c r="L38" s="3"/>
      <c r="M38" s="3"/>
      <c r="N38" s="3"/>
      <c r="O38" s="3"/>
      <c r="P38" s="3"/>
      <c r="Q38" s="3"/>
      <c r="S38" s="3"/>
      <c r="T38" s="3"/>
      <c r="U38" s="3"/>
      <c r="V38" s="3"/>
      <c r="W38" s="3"/>
      <c r="X38" s="3"/>
      <c r="Y38" s="3"/>
      <c r="Z38" s="3"/>
      <c r="AA38" s="3"/>
      <c r="AB38" s="3"/>
      <c r="AC38" s="3"/>
      <c r="AD38" s="3"/>
      <c r="AE38" s="3"/>
      <c r="AF38" s="3"/>
      <c r="AG38" s="3"/>
      <c r="AH38" s="3"/>
      <c r="AI38" s="3"/>
      <c r="AJ38" s="3"/>
      <c r="AK38" s="3"/>
      <c r="AL38" s="3"/>
      <c r="AM38" s="3"/>
    </row>
    <row r="39" spans="1:39"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spans="1:39"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spans="1:39"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spans="1:39"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spans="1:39"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spans="1:39"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spans="1:39"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spans="1:39"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spans="1:39"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spans="1:39"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spans="1:39"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spans="1:39"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spans="1:39"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spans="1:39"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spans="1:39"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spans="1:39"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spans="1:39"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spans="1:39"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spans="1:39"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spans="1:39"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spans="1:39"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spans="1:39"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spans="1:39"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spans="1:39"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spans="1:39"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spans="1:39"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spans="1:39"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spans="1:39"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spans="1:39"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spans="1:39"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spans="1:39"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spans="1:39"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spans="1:39"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spans="1:39"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spans="1:39"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spans="1:39"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spans="1:39"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spans="1:39"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spans="1:39"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spans="1:39"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spans="1:39"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spans="1:39"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spans="1:39"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spans="1:39"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spans="1:39"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spans="1:39"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spans="1:39"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spans="1:39"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spans="1:39"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spans="1:39"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spans="1:39"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spans="1:39"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spans="1:39"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Long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Azeem Khan</cp:lastModifiedBy>
  <dcterms:created xsi:type="dcterms:W3CDTF">2025-10-08T01:33:08Z</dcterms:created>
  <dcterms:modified xsi:type="dcterms:W3CDTF">2026-07-23T11:29:11Z</dcterms:modified>
</cp:coreProperties>
</file>